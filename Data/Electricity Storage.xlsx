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Benders-Decomposition/Data/"/>
    </mc:Choice>
  </mc:AlternateContent>
  <xr:revisionPtr revIDLastSave="0" documentId="13_ncr:1_{12D1052D-4F5D-3A4C-9CD6-9CB8BCD7ADFE}" xr6:coauthVersionLast="47" xr6:coauthVersionMax="47" xr10:uidLastSave="{00000000-0000-0000-0000-000000000000}"/>
  <bookViews>
    <workbookView xWindow="0" yWindow="660" windowWidth="34560" windowHeight="20060" xr2:uid="{EDF38AB8-B67A-6545-84A8-C231FAB8949A}"/>
  </bookViews>
  <sheets>
    <sheet name="Initial values" sheetId="7" r:id="rId1"/>
    <sheet name="Advancements3" sheetId="2" r:id="rId2"/>
    <sheet name="Advancements2" sheetId="8" r:id="rId3"/>
    <sheet name="Advancements1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7" l="1"/>
  <c r="B2" i="7"/>
  <c r="B8" i="7"/>
  <c r="B5" i="9"/>
  <c r="B7" i="7"/>
  <c r="B6" i="9"/>
</calcChain>
</file>

<file path=xl/sharedStrings.xml><?xml version="1.0" encoding="utf-8"?>
<sst xmlns="http://schemas.openxmlformats.org/spreadsheetml/2006/main" count="38" uniqueCount="22">
  <si>
    <t>Metrics</t>
  </si>
  <si>
    <t>Initial Cost</t>
  </si>
  <si>
    <t>Probabilities</t>
  </si>
  <si>
    <t>Cost Multiplier</t>
  </si>
  <si>
    <t>Efficiency Multiplier</t>
  </si>
  <si>
    <t>Cost Ratio</t>
  </si>
  <si>
    <t>Efficiency Ratio</t>
  </si>
  <si>
    <t>Scenario1</t>
  </si>
  <si>
    <t>Scenario2</t>
  </si>
  <si>
    <t>Scenario3</t>
  </si>
  <si>
    <t>Lifetime</t>
  </si>
  <si>
    <t>Degradation rate</t>
  </si>
  <si>
    <t>Initial O&amp;M cost</t>
  </si>
  <si>
    <t>Depreciation rate</t>
  </si>
  <si>
    <t>Version1</t>
  </si>
  <si>
    <t>Initial Amount</t>
  </si>
  <si>
    <t>O&amp;M cost change by year</t>
  </si>
  <si>
    <t>Spatial requirement</t>
  </si>
  <si>
    <t>Electricity storage capacity</t>
  </si>
  <si>
    <t>Charging efficiency</t>
  </si>
  <si>
    <t>Discharging efficiency</t>
  </si>
  <si>
    <t>Self discharge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</si>
</sst>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4E307-70EA-9749-BC3D-54A83804696F}">
  <dimension ref="A1:E13"/>
  <sheetViews>
    <sheetView tabSelected="1" zoomScale="200" workbookViewId="0">
      <selection activeCell="B14" sqref="B14"/>
    </sheetView>
  </sheetViews>
  <sheetFormatPr baseColWidth="10" defaultRowHeight="16" x14ac:dyDescent="0.2"/>
  <cols>
    <col min="1" max="1" width="31.33203125" bestFit="1" customWidth="1"/>
  </cols>
  <sheetData>
    <row r="1" spans="1:5" x14ac:dyDescent="0.2">
      <c r="A1" t="s">
        <v>0</v>
      </c>
      <c r="B1" t="s">
        <v>14</v>
      </c>
    </row>
    <row r="2" spans="1:5" x14ac:dyDescent="0.2">
      <c r="A2" t="s">
        <v>1</v>
      </c>
      <c r="B2" s="1">
        <f>350*1000/0.9</f>
        <v>388888.88888888888</v>
      </c>
      <c r="C2" s="1"/>
      <c r="D2" s="1"/>
    </row>
    <row r="3" spans="1:5" x14ac:dyDescent="0.2">
      <c r="A3" t="s">
        <v>10</v>
      </c>
      <c r="B3">
        <v>20</v>
      </c>
    </row>
    <row r="4" spans="1:5" x14ac:dyDescent="0.2">
      <c r="A4" t="s">
        <v>11</v>
      </c>
      <c r="B4">
        <v>0.01</v>
      </c>
    </row>
    <row r="5" spans="1:5" x14ac:dyDescent="0.2">
      <c r="A5" t="s">
        <v>12</v>
      </c>
      <c r="B5">
        <v>0</v>
      </c>
      <c r="C5" s="1"/>
      <c r="D5" s="1"/>
      <c r="E5" s="1"/>
    </row>
    <row r="6" spans="1:5" x14ac:dyDescent="0.2">
      <c r="A6" t="s">
        <v>16</v>
      </c>
      <c r="B6">
        <v>1</v>
      </c>
    </row>
    <row r="7" spans="1:5" x14ac:dyDescent="0.2">
      <c r="A7" t="s">
        <v>13</v>
      </c>
      <c r="B7">
        <f>1/B3</f>
        <v>0.05</v>
      </c>
    </row>
    <row r="8" spans="1:5" x14ac:dyDescent="0.2">
      <c r="A8" t="s">
        <v>17</v>
      </c>
      <c r="B8">
        <f>ROUND(0.03*1000/0.9,4)</f>
        <v>33.333300000000001</v>
      </c>
    </row>
    <row r="9" spans="1:5" x14ac:dyDescent="0.2">
      <c r="A9" t="s">
        <v>15</v>
      </c>
      <c r="B9">
        <v>0</v>
      </c>
    </row>
    <row r="10" spans="1:5" x14ac:dyDescent="0.2">
      <c r="A10" t="s">
        <v>18</v>
      </c>
      <c r="B10">
        <v>1000</v>
      </c>
    </row>
    <row r="11" spans="1:5" x14ac:dyDescent="0.2">
      <c r="A11" t="s">
        <v>19</v>
      </c>
      <c r="B11">
        <v>0.9</v>
      </c>
    </row>
    <row r="12" spans="1:5" x14ac:dyDescent="0.2">
      <c r="A12" t="s">
        <v>20</v>
      </c>
      <c r="B12">
        <v>0.9</v>
      </c>
    </row>
    <row r="13" spans="1:5" x14ac:dyDescent="0.2">
      <c r="A13" t="s">
        <v>21</v>
      </c>
      <c r="B13">
        <f>1-0.0006</f>
        <v>0.99939999999999996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D6"/>
  <sheetViews>
    <sheetView zoomScale="225" workbookViewId="0">
      <selection activeCell="E1" sqref="E1:G1048576"/>
    </sheetView>
  </sheetViews>
  <sheetFormatPr baseColWidth="10" defaultRowHeight="16" x14ac:dyDescent="0.2"/>
  <cols>
    <col min="1" max="1" width="26.1640625" bestFit="1" customWidth="1"/>
    <col min="5" max="5" width="11.33203125" bestFit="1" customWidth="1"/>
    <col min="6" max="6" width="13.1640625" bestFit="1" customWidth="1"/>
    <col min="7" max="7" width="17.6640625" bestFit="1" customWidth="1"/>
    <col min="8" max="9" width="17.6640625" customWidth="1"/>
    <col min="10" max="10" width="17.1640625" bestFit="1" customWidth="1"/>
    <col min="11" max="11" width="25.1640625" bestFit="1" customWidth="1"/>
    <col min="12" max="12" width="26.1640625" bestFit="1" customWidth="1"/>
    <col min="13" max="13" width="17.83203125" bestFit="1" customWidth="1"/>
    <col min="14" max="14" width="16.6640625" bestFit="1" customWidth="1"/>
  </cols>
  <sheetData>
    <row r="1" spans="1:4" x14ac:dyDescent="0.2">
      <c r="A1" t="s">
        <v>0</v>
      </c>
      <c r="B1" t="s">
        <v>7</v>
      </c>
      <c r="C1" t="s">
        <v>8</v>
      </c>
      <c r="D1" t="s">
        <v>9</v>
      </c>
    </row>
    <row r="2" spans="1:4" x14ac:dyDescent="0.2">
      <c r="A2" t="s">
        <v>2</v>
      </c>
      <c r="B2">
        <v>0.42859999999999998</v>
      </c>
      <c r="C2">
        <v>0.25</v>
      </c>
      <c r="D2">
        <v>0.32140000000000002</v>
      </c>
    </row>
    <row r="3" spans="1:4" x14ac:dyDescent="0.2">
      <c r="A3" t="s">
        <v>5</v>
      </c>
      <c r="B3">
        <v>0.39229999999999998</v>
      </c>
      <c r="C3">
        <v>0.79110000000000003</v>
      </c>
      <c r="D3">
        <v>1.1432</v>
      </c>
    </row>
    <row r="4" spans="1:4" x14ac:dyDescent="0.2">
      <c r="A4" t="s">
        <v>6</v>
      </c>
      <c r="B4">
        <v>0</v>
      </c>
      <c r="C4">
        <v>0</v>
      </c>
      <c r="D4">
        <v>0</v>
      </c>
    </row>
    <row r="5" spans="1:4" x14ac:dyDescent="0.2">
      <c r="A5" t="s">
        <v>3</v>
      </c>
      <c r="B5">
        <v>0.67549999999999999</v>
      </c>
      <c r="C5">
        <v>0.45340000000000003</v>
      </c>
      <c r="D5">
        <v>0.31879999999999997</v>
      </c>
    </row>
    <row r="6" spans="1:4" x14ac:dyDescent="0.2">
      <c r="A6" t="s">
        <v>4</v>
      </c>
      <c r="B6">
        <v>1</v>
      </c>
      <c r="C6">
        <v>1</v>
      </c>
      <c r="D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3A6E7-C1DC-B64E-8A12-AE0BEF842AB7}">
  <dimension ref="A1:C6"/>
  <sheetViews>
    <sheetView zoomScale="225" workbookViewId="0">
      <selection activeCell="D1" sqref="D1:E1048576"/>
    </sheetView>
  </sheetViews>
  <sheetFormatPr baseColWidth="10" defaultRowHeight="16" x14ac:dyDescent="0.2"/>
  <cols>
    <col min="1" max="1" width="26.1640625" bestFit="1" customWidth="1"/>
    <col min="4" max="4" width="11.33203125" bestFit="1" customWidth="1"/>
    <col min="5" max="5" width="13.1640625" bestFit="1" customWidth="1"/>
    <col min="6" max="6" width="17.6640625" bestFit="1" customWidth="1"/>
    <col min="7" max="8" width="17.6640625" customWidth="1"/>
    <col min="9" max="9" width="17.1640625" bestFit="1" customWidth="1"/>
    <col min="10" max="10" width="25.1640625" bestFit="1" customWidth="1"/>
    <col min="11" max="11" width="26.1640625" bestFit="1" customWidth="1"/>
    <col min="12" max="12" width="17.83203125" bestFit="1" customWidth="1"/>
    <col min="13" max="13" width="16.6640625" bestFit="1" customWidth="1"/>
  </cols>
  <sheetData>
    <row r="1" spans="1:3" x14ac:dyDescent="0.2">
      <c r="A1" t="s">
        <v>0</v>
      </c>
      <c r="B1" t="s">
        <v>7</v>
      </c>
      <c r="C1" t="s">
        <v>8</v>
      </c>
    </row>
    <row r="2" spans="1:3" x14ac:dyDescent="0.2">
      <c r="A2" t="s">
        <v>2</v>
      </c>
      <c r="B2">
        <v>0.53569999999999995</v>
      </c>
      <c r="C2">
        <v>0.46429999999999999</v>
      </c>
    </row>
    <row r="3" spans="1:3" x14ac:dyDescent="0.2">
      <c r="A3" t="s">
        <v>5</v>
      </c>
      <c r="B3">
        <v>0.4551</v>
      </c>
      <c r="C3">
        <v>1.0544</v>
      </c>
    </row>
    <row r="4" spans="1:3" x14ac:dyDescent="0.2">
      <c r="A4" t="s">
        <v>6</v>
      </c>
      <c r="B4">
        <v>0</v>
      </c>
      <c r="C4">
        <v>0</v>
      </c>
    </row>
    <row r="5" spans="1:3" x14ac:dyDescent="0.2">
      <c r="A5" t="s">
        <v>3</v>
      </c>
      <c r="B5" s="2">
        <v>0.63439999999999996</v>
      </c>
      <c r="C5">
        <v>0.34839999999999999</v>
      </c>
    </row>
    <row r="6" spans="1:3" x14ac:dyDescent="0.2">
      <c r="A6" t="s">
        <v>4</v>
      </c>
      <c r="B6">
        <v>1</v>
      </c>
      <c r="C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D001-EACD-464B-BF0A-91777AE16B43}">
  <dimension ref="A1:B6"/>
  <sheetViews>
    <sheetView zoomScale="225" workbookViewId="0">
      <selection activeCell="B18" sqref="B18"/>
    </sheetView>
  </sheetViews>
  <sheetFormatPr baseColWidth="10" defaultRowHeight="16" x14ac:dyDescent="0.2"/>
  <cols>
    <col min="1" max="1" width="26.1640625" bestFit="1" customWidth="1"/>
    <col min="4" max="4" width="11.33203125" bestFit="1" customWidth="1"/>
    <col min="5" max="5" width="13.1640625" bestFit="1" customWidth="1"/>
    <col min="6" max="6" width="17.6640625" bestFit="1" customWidth="1"/>
    <col min="7" max="8" width="17.6640625" customWidth="1"/>
    <col min="9" max="9" width="17.1640625" bestFit="1" customWidth="1"/>
    <col min="10" max="10" width="25.1640625" bestFit="1" customWidth="1"/>
    <col min="11" max="11" width="26.1640625" bestFit="1" customWidth="1"/>
    <col min="12" max="12" width="17.83203125" bestFit="1" customWidth="1"/>
    <col min="13" max="13" width="16.6640625" bestFit="1" customWidth="1"/>
  </cols>
  <sheetData>
    <row r="1" spans="1:2" x14ac:dyDescent="0.2">
      <c r="A1" t="s">
        <v>0</v>
      </c>
      <c r="B1" t="s">
        <v>7</v>
      </c>
    </row>
    <row r="2" spans="1:2" x14ac:dyDescent="0.2">
      <c r="A2" t="s">
        <v>2</v>
      </c>
      <c r="B2">
        <v>1</v>
      </c>
    </row>
    <row r="3" spans="1:2" x14ac:dyDescent="0.2">
      <c r="A3" t="s">
        <v>5</v>
      </c>
      <c r="B3">
        <v>0.73329999999999995</v>
      </c>
    </row>
    <row r="4" spans="1:2" x14ac:dyDescent="0.2">
      <c r="A4" t="s">
        <v>6</v>
      </c>
      <c r="B4">
        <v>0</v>
      </c>
    </row>
    <row r="5" spans="1:2" x14ac:dyDescent="0.2">
      <c r="A5" t="s">
        <v>3</v>
      </c>
      <c r="B5">
        <f>ROUND(EXP(-B3),4)</f>
        <v>0.4803</v>
      </c>
    </row>
    <row r="6" spans="1:2" x14ac:dyDescent="0.2">
      <c r="A6" t="s">
        <v>4</v>
      </c>
      <c r="B6">
        <f>EXP(B4)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values</vt:lpstr>
      <vt:lpstr>Advancements3</vt:lpstr>
      <vt:lpstr>Advancements2</vt:lpstr>
      <vt:lpstr>Advancements1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2026-02-17T13:46:33Z</dcterms:modified>
</cp:coreProperties>
</file>