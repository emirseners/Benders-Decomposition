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sener/Desktop/Benders-Decomposition/Data/"/>
    </mc:Choice>
  </mc:AlternateContent>
  <xr:revisionPtr revIDLastSave="0" documentId="13_ncr:1_{E34EAAA6-E088-0C4E-BD31-AB1869FD8401}" xr6:coauthVersionLast="47" xr6:coauthVersionMax="47" xr10:uidLastSave="{00000000-0000-0000-0000-000000000000}"/>
  <bookViews>
    <workbookView xWindow="0" yWindow="760" windowWidth="34560" windowHeight="20060" activeTab="4" xr2:uid="{EDF38AB8-B67A-6545-84A8-C231FAB8949A}"/>
  </bookViews>
  <sheets>
    <sheet name="Initial values" sheetId="7" r:id="rId1"/>
    <sheet name="Advancements3" sheetId="2" r:id="rId2"/>
    <sheet name="Advancements2" sheetId="5" r:id="rId3"/>
    <sheet name="Advancements1" sheetId="9" r:id="rId4"/>
    <sheet name="Additional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  <c r="E9" i="3"/>
  <c r="E10" i="3"/>
  <c r="E11" i="3"/>
  <c r="E12" i="3"/>
  <c r="E13" i="3"/>
  <c r="E14" i="3"/>
  <c r="E15" i="3"/>
  <c r="E16" i="3"/>
  <c r="E17" i="3"/>
  <c r="E18" i="3"/>
  <c r="E8" i="3"/>
  <c r="D9" i="3"/>
  <c r="D10" i="3"/>
  <c r="D11" i="3"/>
  <c r="D12" i="3"/>
  <c r="D13" i="3"/>
  <c r="D14" i="3"/>
  <c r="D15" i="3"/>
  <c r="D16" i="3"/>
  <c r="D17" i="3"/>
  <c r="D18" i="3"/>
  <c r="D19" i="3"/>
  <c r="D8" i="3"/>
  <c r="C78" i="3"/>
  <c r="D78" i="3"/>
  <c r="E78" i="3"/>
  <c r="F78" i="3"/>
  <c r="G78" i="3"/>
  <c r="B78" i="3"/>
  <c r="C7" i="7"/>
  <c r="B7" i="7"/>
  <c r="G79" i="3"/>
  <c r="F79" i="3"/>
  <c r="E79" i="3"/>
  <c r="D79" i="3"/>
  <c r="C79" i="3"/>
  <c r="B79" i="3"/>
  <c r="H19" i="3"/>
  <c r="K19" i="3" s="1"/>
  <c r="H4" i="3"/>
  <c r="K4" i="3" s="1"/>
  <c r="H5" i="3"/>
  <c r="K5" i="3" s="1"/>
  <c r="H6" i="3"/>
  <c r="K6" i="3" s="1"/>
  <c r="H7" i="3"/>
  <c r="K7" i="3" s="1"/>
  <c r="H8" i="3"/>
  <c r="K8" i="3" s="1"/>
  <c r="H9" i="3"/>
  <c r="K9" i="3" s="1"/>
  <c r="H10" i="3"/>
  <c r="K10" i="3" s="1"/>
  <c r="H11" i="3"/>
  <c r="K11" i="3" s="1"/>
  <c r="H12" i="3"/>
  <c r="K12" i="3" s="1"/>
  <c r="H13" i="3"/>
  <c r="K13" i="3" s="1"/>
  <c r="H14" i="3"/>
  <c r="K14" i="3" s="1"/>
  <c r="H15" i="3"/>
  <c r="K15" i="3" s="1"/>
  <c r="H16" i="3"/>
  <c r="K16" i="3" s="1"/>
  <c r="H17" i="3"/>
  <c r="K17" i="3" s="1"/>
  <c r="H18" i="3"/>
  <c r="K18" i="3" s="1"/>
  <c r="H3" i="3"/>
  <c r="K3" i="3" s="1"/>
  <c r="D35" i="3"/>
  <c r="D46" i="3" l="1"/>
  <c r="D45" i="3"/>
  <c r="D44" i="3"/>
  <c r="D43" i="3"/>
  <c r="D42" i="3"/>
  <c r="D41" i="3"/>
  <c r="D40" i="3"/>
  <c r="D39" i="3"/>
  <c r="D38" i="3"/>
  <c r="D37" i="3"/>
  <c r="D36" i="3"/>
</calcChain>
</file>

<file path=xl/sharedStrings.xml><?xml version="1.0" encoding="utf-8"?>
<sst xmlns="http://schemas.openxmlformats.org/spreadsheetml/2006/main" count="65" uniqueCount="37">
  <si>
    <t>Metrics</t>
  </si>
  <si>
    <t>Initial Cost</t>
  </si>
  <si>
    <t>Initial Emission</t>
  </si>
  <si>
    <t>Probabilities</t>
  </si>
  <si>
    <t>Cost Multiplier</t>
  </si>
  <si>
    <t>Efficiency Multiplier</t>
  </si>
  <si>
    <t>Cost Ratio</t>
  </si>
  <si>
    <t>Efficiency Ratio</t>
  </si>
  <si>
    <t>Scenario1</t>
  </si>
  <si>
    <t>Scenario2</t>
  </si>
  <si>
    <t>Scenario3</t>
  </si>
  <si>
    <t>Lifetime</t>
  </si>
  <si>
    <t>Degradation rate</t>
  </si>
  <si>
    <t>Initial O&amp;M cost</t>
  </si>
  <si>
    <t>O&amp;M cost change by age</t>
  </si>
  <si>
    <t>Depreciation rate</t>
  </si>
  <si>
    <t>Initial tech salvage value</t>
  </si>
  <si>
    <t>Version1</t>
  </si>
  <si>
    <t>Version2</t>
  </si>
  <si>
    <t>Initial Amount</t>
  </si>
  <si>
    <t>O&amp;M costs</t>
  </si>
  <si>
    <t>OECD</t>
  </si>
  <si>
    <t>Non-OECD</t>
  </si>
  <si>
    <t>Year</t>
  </si>
  <si>
    <t>2022 USD/kW/year</t>
  </si>
  <si>
    <t>Version3</t>
  </si>
  <si>
    <t>Version4</t>
  </si>
  <si>
    <t>Version5</t>
  </si>
  <si>
    <t>Version6</t>
  </si>
  <si>
    <t>O&amp;M cost change by year</t>
  </si>
  <si>
    <t>Spatial requirement</t>
  </si>
  <si>
    <t>tts 2019 report</t>
  </si>
  <si>
    <t>Installation Price $/W</t>
  </si>
  <si>
    <t>Median Module Efficiency</t>
  </si>
  <si>
    <t>Mid-Scale Non-Residential Installations</t>
  </si>
  <si>
    <t>2022 Usd to 2024 Usd</t>
  </si>
  <si>
    <t>Installation Price2024 $/W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</si>
</sst>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0000"/>
    <numFmt numFmtId="165" formatCode="0.0000000"/>
    <numFmt numFmtId="166" formatCode="0.000000000"/>
  </numFmts>
  <fonts count="5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2" fontId="2" fillId="0" borderId="0" xfId="0" applyNumberFormat="1" applyFont="1"/>
    <xf numFmtId="164" fontId="0" fillId="0" borderId="0" xfId="2" applyNumberFormat="1" applyFont="1" applyBorder="1"/>
    <xf numFmtId="164" fontId="0" fillId="0" borderId="0" xfId="1" applyNumberFormat="1" applyFont="1" applyBorder="1"/>
    <xf numFmtId="165" fontId="0" fillId="0" borderId="0" xfId="0" applyNumberFormat="1"/>
    <xf numFmtId="0" fontId="4" fillId="0" borderId="0" xfId="0" applyFont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  <xf numFmtId="0" fontId="2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307-70EA-9749-BC3D-54A83804696F}">
  <dimension ref="A1:C9"/>
  <sheetViews>
    <sheetView zoomScale="260" zoomScaleNormal="260" workbookViewId="0">
      <selection activeCell="C5" sqref="C5"/>
    </sheetView>
  </sheetViews>
  <sheetFormatPr baseColWidth="10" defaultRowHeight="16" x14ac:dyDescent="0.2"/>
  <cols>
    <col min="1" max="1" width="25.6640625" bestFit="1" customWidth="1"/>
    <col min="2" max="3" width="8.33203125" style="9" bestFit="1" customWidth="1"/>
  </cols>
  <sheetData>
    <row r="1" spans="1:3" x14ac:dyDescent="0.2">
      <c r="A1" t="s">
        <v>0</v>
      </c>
      <c r="B1" s="9" t="s">
        <v>17</v>
      </c>
      <c r="C1" s="9" t="s">
        <v>18</v>
      </c>
    </row>
    <row r="2" spans="1:3" x14ac:dyDescent="0.2">
      <c r="A2" t="s">
        <v>1</v>
      </c>
      <c r="B2" s="10">
        <v>3190170</v>
      </c>
      <c r="C2" s="10">
        <v>5832190</v>
      </c>
    </row>
    <row r="3" spans="1:3" x14ac:dyDescent="0.2">
      <c r="A3" t="s">
        <v>11</v>
      </c>
      <c r="B3" s="9">
        <v>25</v>
      </c>
      <c r="C3" s="9">
        <v>25</v>
      </c>
    </row>
    <row r="4" spans="1:3" x14ac:dyDescent="0.2">
      <c r="A4" t="s">
        <v>12</v>
      </c>
      <c r="B4" s="9">
        <v>5.0000000000000001E-3</v>
      </c>
      <c r="C4" s="9">
        <v>5.0000000000000001E-3</v>
      </c>
    </row>
    <row r="5" spans="1:3" x14ac:dyDescent="0.2">
      <c r="A5" t="s">
        <v>13</v>
      </c>
      <c r="B5" s="10">
        <v>50115</v>
      </c>
      <c r="C5" s="10">
        <v>100231</v>
      </c>
    </row>
    <row r="6" spans="1:3" x14ac:dyDescent="0.2">
      <c r="A6" t="s">
        <v>29</v>
      </c>
      <c r="B6" s="9">
        <v>0.91825000000000001</v>
      </c>
      <c r="C6" s="9">
        <v>0.91825000000000001</v>
      </c>
    </row>
    <row r="7" spans="1:3" x14ac:dyDescent="0.2">
      <c r="A7" t="s">
        <v>15</v>
      </c>
      <c r="B7" s="9">
        <f t="shared" ref="B7:C7" si="0">1/B3</f>
        <v>0.04</v>
      </c>
      <c r="C7" s="9">
        <f t="shared" si="0"/>
        <v>0.04</v>
      </c>
    </row>
    <row r="8" spans="1:3" x14ac:dyDescent="0.2">
      <c r="A8" t="s">
        <v>30</v>
      </c>
      <c r="B8" s="9">
        <v>28370</v>
      </c>
      <c r="C8" s="9">
        <v>56739</v>
      </c>
    </row>
    <row r="9" spans="1:3" x14ac:dyDescent="0.2">
      <c r="A9" t="s">
        <v>19</v>
      </c>
      <c r="B9" s="9">
        <v>0</v>
      </c>
      <c r="C9" s="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4CF1-7336-B242-BB78-8AD8C045F5E6}">
  <dimension ref="A1:D6"/>
  <sheetViews>
    <sheetView zoomScale="305" workbookViewId="0">
      <selection activeCell="D6" sqref="D6"/>
    </sheetView>
  </sheetViews>
  <sheetFormatPr baseColWidth="10" defaultRowHeight="16" x14ac:dyDescent="0.2"/>
  <cols>
    <col min="1" max="1" width="26.1640625" bestFit="1" customWidth="1"/>
    <col min="2" max="4" width="9.1640625" bestFit="1" customWidth="1"/>
    <col min="5" max="5" width="11.33203125" bestFit="1" customWidth="1"/>
    <col min="6" max="6" width="13.1640625" bestFit="1" customWidth="1"/>
    <col min="7" max="7" width="17.6640625" bestFit="1" customWidth="1"/>
    <col min="8" max="9" width="17.6640625" customWidth="1"/>
    <col min="10" max="10" width="17.1640625" bestFit="1" customWidth="1"/>
    <col min="11" max="11" width="25.1640625" bestFit="1" customWidth="1"/>
    <col min="12" max="12" width="26.1640625" bestFit="1" customWidth="1"/>
    <col min="13" max="13" width="17.83203125" bestFit="1" customWidth="1"/>
    <col min="14" max="14" width="16.6640625" bestFit="1" customWidth="1"/>
  </cols>
  <sheetData>
    <row r="1" spans="1:4" x14ac:dyDescent="0.2">
      <c r="A1" t="s">
        <v>0</v>
      </c>
      <c r="B1" t="s">
        <v>8</v>
      </c>
      <c r="C1" t="s">
        <v>9</v>
      </c>
      <c r="D1" t="s">
        <v>10</v>
      </c>
    </row>
    <row r="2" spans="1:4" x14ac:dyDescent="0.2">
      <c r="A2" t="s">
        <v>3</v>
      </c>
      <c r="B2">
        <v>0.33329999999999999</v>
      </c>
      <c r="C2">
        <v>0.41670000000000001</v>
      </c>
      <c r="D2">
        <v>0.25</v>
      </c>
    </row>
    <row r="3" spans="1:4" x14ac:dyDescent="0.2">
      <c r="A3" t="s">
        <v>6</v>
      </c>
      <c r="B3">
        <v>0.1552</v>
      </c>
      <c r="C3">
        <v>0.50860000000000005</v>
      </c>
      <c r="D3">
        <v>0.74170000000000003</v>
      </c>
    </row>
    <row r="4" spans="1:4" x14ac:dyDescent="0.2">
      <c r="A4" t="s">
        <v>7</v>
      </c>
      <c r="B4">
        <v>5.4199999999999998E-2</v>
      </c>
      <c r="C4">
        <v>0.12590000000000001</v>
      </c>
      <c r="D4">
        <v>0.1226</v>
      </c>
    </row>
    <row r="5" spans="1:4" x14ac:dyDescent="0.2">
      <c r="A5" t="s">
        <v>4</v>
      </c>
      <c r="B5">
        <v>0.85619999999999996</v>
      </c>
      <c r="C5">
        <v>0.60140000000000005</v>
      </c>
      <c r="D5">
        <v>0.4763</v>
      </c>
    </row>
    <row r="6" spans="1:4" x14ac:dyDescent="0.2">
      <c r="A6" t="s">
        <v>5</v>
      </c>
      <c r="B6">
        <v>1.0557000000000001</v>
      </c>
      <c r="C6">
        <v>1.1342000000000001</v>
      </c>
      <c r="D6">
        <v>1.1304000000000001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238B-0F4C-1343-88A8-2D1E4AFF318E}">
  <dimension ref="A1:C6"/>
  <sheetViews>
    <sheetView zoomScale="237" workbookViewId="0">
      <selection activeCell="C9" sqref="C9"/>
    </sheetView>
  </sheetViews>
  <sheetFormatPr baseColWidth="10" defaultRowHeight="16" x14ac:dyDescent="0.2"/>
  <cols>
    <col min="1" max="1" width="17.33203125" customWidth="1"/>
    <col min="2" max="3" width="9.1640625" bestFit="1" customWidth="1"/>
  </cols>
  <sheetData>
    <row r="1" spans="1:3" x14ac:dyDescent="0.2">
      <c r="A1" t="s">
        <v>0</v>
      </c>
      <c r="B1" t="s">
        <v>8</v>
      </c>
      <c r="C1" t="s">
        <v>9</v>
      </c>
    </row>
    <row r="2" spans="1:3" x14ac:dyDescent="0.2">
      <c r="A2" t="s">
        <v>3</v>
      </c>
      <c r="B2">
        <v>0.33329999999999999</v>
      </c>
      <c r="C2">
        <v>0.66669999999999996</v>
      </c>
    </row>
    <row r="3" spans="1:3" x14ac:dyDescent="0.2">
      <c r="A3" t="s">
        <v>6</v>
      </c>
      <c r="B3">
        <v>0.1552</v>
      </c>
      <c r="C3">
        <v>0.59599999999999997</v>
      </c>
    </row>
    <row r="4" spans="1:3" x14ac:dyDescent="0.2">
      <c r="A4" t="s">
        <v>7</v>
      </c>
      <c r="B4">
        <v>5.4199999999999998E-2</v>
      </c>
      <c r="C4">
        <v>0.12470000000000001</v>
      </c>
    </row>
    <row r="5" spans="1:3" x14ac:dyDescent="0.2">
      <c r="A5" t="s">
        <v>4</v>
      </c>
      <c r="B5">
        <v>0.85619999999999996</v>
      </c>
      <c r="C5">
        <v>0.55100000000000005</v>
      </c>
    </row>
    <row r="6" spans="1:3" x14ac:dyDescent="0.2">
      <c r="A6" t="s">
        <v>5</v>
      </c>
      <c r="B6">
        <v>1.0557000000000001</v>
      </c>
      <c r="C6">
        <v>1.1328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E8CD-8613-B844-B56F-1A8EE5580F62}">
  <dimension ref="A1:D6"/>
  <sheetViews>
    <sheetView zoomScale="237" workbookViewId="0">
      <selection activeCell="C1" sqref="C1:C1048576"/>
    </sheetView>
  </sheetViews>
  <sheetFormatPr baseColWidth="10" defaultRowHeight="16" x14ac:dyDescent="0.2"/>
  <cols>
    <col min="1" max="1" width="17.33203125" customWidth="1"/>
    <col min="2" max="2" width="9.1640625" bestFit="1" customWidth="1"/>
    <col min="3" max="3" width="17.33203125" customWidth="1"/>
  </cols>
  <sheetData>
    <row r="1" spans="1:4" x14ac:dyDescent="0.2">
      <c r="A1" t="s">
        <v>0</v>
      </c>
      <c r="B1" t="s">
        <v>8</v>
      </c>
    </row>
    <row r="2" spans="1:4" x14ac:dyDescent="0.2">
      <c r="A2" t="s">
        <v>3</v>
      </c>
      <c r="B2">
        <v>1</v>
      </c>
    </row>
    <row r="3" spans="1:4" x14ac:dyDescent="0.2">
      <c r="A3" t="s">
        <v>6</v>
      </c>
      <c r="B3">
        <v>0.44919999999999999</v>
      </c>
    </row>
    <row r="4" spans="1:4" x14ac:dyDescent="0.2">
      <c r="A4" t="s">
        <v>7</v>
      </c>
      <c r="B4">
        <v>0.1011</v>
      </c>
      <c r="D4" s="7"/>
    </row>
    <row r="5" spans="1:4" x14ac:dyDescent="0.2">
      <c r="A5" t="s">
        <v>4</v>
      </c>
      <c r="B5">
        <v>0.63819999999999999</v>
      </c>
    </row>
    <row r="6" spans="1:4" x14ac:dyDescent="0.2">
      <c r="A6" t="s">
        <v>5</v>
      </c>
      <c r="B6">
        <v>1.1064000000000001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AB95-499B-884C-8EAD-AAE9CFA64804}">
  <dimension ref="A1:W82"/>
  <sheetViews>
    <sheetView tabSelected="1" topLeftCell="A30" zoomScale="168" zoomScaleNormal="100" workbookViewId="0">
      <selection activeCell="D52" sqref="C47:D52"/>
    </sheetView>
  </sheetViews>
  <sheetFormatPr baseColWidth="10" defaultRowHeight="16" x14ac:dyDescent="0.2"/>
  <cols>
    <col min="1" max="1" width="13.33203125" bestFit="1" customWidth="1"/>
    <col min="2" max="2" width="13.83203125" bestFit="1" customWidth="1"/>
    <col min="3" max="3" width="19.1640625" bestFit="1" customWidth="1"/>
    <col min="4" max="4" width="10.83203125" customWidth="1"/>
    <col min="5" max="5" width="19.33203125" bestFit="1" customWidth="1"/>
    <col min="8" max="8" width="23.33203125" bestFit="1" customWidth="1"/>
    <col min="11" max="11" width="23.33203125" bestFit="1" customWidth="1"/>
    <col min="21" max="21" width="13.5" bestFit="1" customWidth="1"/>
    <col min="22" max="22" width="22.6640625" bestFit="1" customWidth="1"/>
    <col min="23" max="23" width="19.1640625" bestFit="1" customWidth="1"/>
  </cols>
  <sheetData>
    <row r="1" spans="1:23" x14ac:dyDescent="0.2">
      <c r="A1" t="s">
        <v>31</v>
      </c>
      <c r="B1" t="s">
        <v>34</v>
      </c>
      <c r="V1" s="8"/>
      <c r="W1" s="8"/>
    </row>
    <row r="2" spans="1:23" x14ac:dyDescent="0.2">
      <c r="B2" t="s">
        <v>33</v>
      </c>
      <c r="C2" t="s">
        <v>32</v>
      </c>
      <c r="F2">
        <v>1.2479</v>
      </c>
      <c r="H2" t="s">
        <v>36</v>
      </c>
    </row>
    <row r="3" spans="1:23" x14ac:dyDescent="0.2">
      <c r="A3" s="6">
        <v>2002</v>
      </c>
      <c r="B3" s="5">
        <v>0.1269230842590332</v>
      </c>
      <c r="C3" s="5">
        <v>11.172725677490234</v>
      </c>
      <c r="D3" s="5"/>
      <c r="E3" s="5"/>
      <c r="H3">
        <f>C3*$F$2</f>
        <v>13.942444372940063</v>
      </c>
      <c r="K3" t="str">
        <f>"(" &amp; A3 &amp; ", " &amp; H3 &amp; ")"</f>
        <v>(2002, 13.9424443729401)</v>
      </c>
      <c r="V3" s="3"/>
      <c r="W3" s="4"/>
    </row>
    <row r="4" spans="1:23" x14ac:dyDescent="0.2">
      <c r="A4" s="6">
        <v>2003</v>
      </c>
      <c r="B4" s="5">
        <v>0.12987013161182404</v>
      </c>
      <c r="C4" s="5">
        <v>10.837315559387207</v>
      </c>
      <c r="D4" s="5"/>
      <c r="E4" s="5"/>
      <c r="H4">
        <f t="shared" ref="H4:H18" si="0">C4*$F$2</f>
        <v>13.523886086559296</v>
      </c>
      <c r="K4" t="str">
        <f t="shared" ref="K4:K19" si="1">"(" &amp; A4 &amp; ", " &amp; H4 &amp; ")"</f>
        <v>(2003, 13.5238860865593)</v>
      </c>
      <c r="V4" s="3"/>
      <c r="W4" s="4"/>
    </row>
    <row r="5" spans="1:23" x14ac:dyDescent="0.2">
      <c r="A5" s="6">
        <v>2004</v>
      </c>
      <c r="B5" s="5">
        <v>0.13451708853244781</v>
      </c>
      <c r="C5" s="5">
        <v>9.9093914031982422</v>
      </c>
      <c r="D5" s="5"/>
      <c r="E5" s="5"/>
      <c r="H5">
        <f t="shared" si="0"/>
        <v>12.365929532051087</v>
      </c>
      <c r="K5" t="str">
        <f t="shared" si="1"/>
        <v>(2004, 12.3659295320511)</v>
      </c>
      <c r="V5" s="3"/>
      <c r="W5" s="4"/>
    </row>
    <row r="6" spans="1:23" x14ac:dyDescent="0.2">
      <c r="A6" s="6">
        <v>2005</v>
      </c>
      <c r="B6" s="5">
        <v>0.13451708853244781</v>
      </c>
      <c r="C6" s="5">
        <v>9.6791591644287109</v>
      </c>
      <c r="D6" s="5"/>
      <c r="E6" s="5"/>
      <c r="H6">
        <f t="shared" si="0"/>
        <v>12.078622721290589</v>
      </c>
      <c r="K6" t="str">
        <f t="shared" si="1"/>
        <v>(2005, 12.0786227212906)</v>
      </c>
      <c r="V6" s="3"/>
      <c r="W6" s="4"/>
    </row>
    <row r="7" spans="1:23" x14ac:dyDescent="0.2">
      <c r="A7" s="6">
        <v>2006</v>
      </c>
      <c r="B7" s="5">
        <v>0.1349206417798996</v>
      </c>
      <c r="C7" s="5">
        <v>9.8771286010742188</v>
      </c>
      <c r="D7" s="5"/>
      <c r="E7" s="5"/>
      <c r="H7">
        <f t="shared" si="0"/>
        <v>12.325668781280518</v>
      </c>
      <c r="K7" t="str">
        <f t="shared" si="1"/>
        <v>(2006, 12.3256687812805)</v>
      </c>
      <c r="V7" s="3"/>
      <c r="W7" s="4"/>
    </row>
    <row r="8" spans="1:23" x14ac:dyDescent="0.2">
      <c r="A8" s="6">
        <v>2007</v>
      </c>
      <c r="B8" s="5">
        <v>0.1349206417798996</v>
      </c>
      <c r="C8" s="5">
        <v>9.7870693206787109</v>
      </c>
      <c r="D8" s="5">
        <f>LN(B8/B3)</f>
        <v>6.1105499694598379E-2</v>
      </c>
      <c r="E8" s="5">
        <f>-LN(C8/C3)</f>
        <v>0.13241354364108071</v>
      </c>
      <c r="H8">
        <f t="shared" si="0"/>
        <v>12.213283805274964</v>
      </c>
      <c r="K8" t="str">
        <f t="shared" si="1"/>
        <v>(2007, 12.213283805275)</v>
      </c>
      <c r="V8" s="3"/>
      <c r="W8" s="4"/>
    </row>
    <row r="9" spans="1:23" x14ac:dyDescent="0.2">
      <c r="A9" s="6">
        <v>2008</v>
      </c>
      <c r="B9" s="5">
        <v>0.1411290317773819</v>
      </c>
      <c r="C9" s="5">
        <v>9.3812465667724609</v>
      </c>
      <c r="D9" s="5">
        <f t="shared" ref="D9:D19" si="2">LN(B9/B4)</f>
        <v>8.3139627367045041E-2</v>
      </c>
      <c r="E9" s="5">
        <f t="shared" ref="E9:E18" si="3">-LN(C9/C4)</f>
        <v>0.14428267278756646</v>
      </c>
      <c r="H9">
        <f t="shared" si="0"/>
        <v>11.706857590675353</v>
      </c>
      <c r="K9" t="str">
        <f t="shared" si="1"/>
        <v>(2008, 11.7068575906754)</v>
      </c>
      <c r="V9" s="3"/>
      <c r="W9" s="4"/>
    </row>
    <row r="10" spans="1:23" x14ac:dyDescent="0.2">
      <c r="A10" s="6">
        <v>2009</v>
      </c>
      <c r="B10" s="5">
        <v>0.13804714381694794</v>
      </c>
      <c r="C10" s="5">
        <v>9.0643024444580078</v>
      </c>
      <c r="D10" s="5">
        <f t="shared" si="2"/>
        <v>2.5904005422391314E-2</v>
      </c>
      <c r="E10" s="5">
        <f t="shared" si="3"/>
        <v>8.9139043236709722E-2</v>
      </c>
      <c r="H10">
        <f t="shared" si="0"/>
        <v>11.311343020439148</v>
      </c>
      <c r="K10" t="str">
        <f t="shared" si="1"/>
        <v>(2009, 11.3113430204391)</v>
      </c>
      <c r="V10" s="3"/>
      <c r="W10" s="4"/>
    </row>
    <row r="11" spans="1:23" x14ac:dyDescent="0.2">
      <c r="A11" s="6">
        <v>2010</v>
      </c>
      <c r="B11" s="5">
        <v>0.14093959331512451</v>
      </c>
      <c r="C11" s="5">
        <v>7.4998297691345215</v>
      </c>
      <c r="D11" s="5">
        <f t="shared" si="2"/>
        <v>4.6640139119643292E-2</v>
      </c>
      <c r="E11" s="5">
        <f t="shared" si="3"/>
        <v>0.25509471150086577</v>
      </c>
      <c r="H11">
        <f t="shared" si="0"/>
        <v>9.3590375689029699</v>
      </c>
      <c r="K11" t="str">
        <f t="shared" si="1"/>
        <v>(2010, 9.35903756890297)</v>
      </c>
      <c r="V11" s="3"/>
      <c r="W11" s="4"/>
    </row>
    <row r="12" spans="1:23" x14ac:dyDescent="0.2">
      <c r="A12" s="6">
        <v>2011</v>
      </c>
      <c r="B12" s="5">
        <v>0.14417177438735962</v>
      </c>
      <c r="C12" s="5">
        <v>6.436070442199707</v>
      </c>
      <c r="D12" s="5">
        <f t="shared" si="2"/>
        <v>6.6318699426575603E-2</v>
      </c>
      <c r="E12" s="5">
        <f t="shared" si="3"/>
        <v>0.42830366799964276</v>
      </c>
      <c r="H12">
        <f t="shared" si="0"/>
        <v>8.0315723048210153</v>
      </c>
      <c r="K12" t="str">
        <f t="shared" si="1"/>
        <v>(2011, 8.03157230482102)</v>
      </c>
      <c r="V12" s="3"/>
      <c r="W12" s="4"/>
    </row>
    <row r="13" spans="1:23" x14ac:dyDescent="0.2">
      <c r="A13" s="6">
        <v>2012</v>
      </c>
      <c r="B13" s="5">
        <v>0.1484375</v>
      </c>
      <c r="C13" s="5">
        <v>5.5148839950561523</v>
      </c>
      <c r="D13" s="5">
        <f t="shared" si="2"/>
        <v>9.5477227302830675E-2</v>
      </c>
      <c r="E13" s="5">
        <f t="shared" si="3"/>
        <v>0.57361143931004721</v>
      </c>
      <c r="H13">
        <f t="shared" si="0"/>
        <v>6.8820237374305728</v>
      </c>
      <c r="K13" t="str">
        <f t="shared" si="1"/>
        <v>(2012, 6.88202373743057)</v>
      </c>
      <c r="V13" s="3"/>
      <c r="W13" s="4"/>
    </row>
    <row r="14" spans="1:23" x14ac:dyDescent="0.2">
      <c r="A14" s="6">
        <v>2013</v>
      </c>
      <c r="B14" s="5">
        <v>0.15408805012702942</v>
      </c>
      <c r="C14" s="5">
        <v>4.514430046081543</v>
      </c>
      <c r="D14" s="5">
        <f t="shared" si="2"/>
        <v>8.7849602195576609E-2</v>
      </c>
      <c r="E14" s="5">
        <f t="shared" si="3"/>
        <v>0.73143370717290312</v>
      </c>
      <c r="H14">
        <f t="shared" si="0"/>
        <v>5.6335572545051571</v>
      </c>
      <c r="K14" t="str">
        <f t="shared" si="1"/>
        <v>(2013, 5.63355725450516)</v>
      </c>
      <c r="V14" s="3"/>
      <c r="W14" s="4"/>
    </row>
    <row r="15" spans="1:23" x14ac:dyDescent="0.2">
      <c r="A15" s="6">
        <v>2014</v>
      </c>
      <c r="B15" s="5">
        <v>0.15740740299224854</v>
      </c>
      <c r="C15" s="5">
        <v>4.0100564956665039</v>
      </c>
      <c r="D15" s="5">
        <f t="shared" si="2"/>
        <v>0.13124211918520412</v>
      </c>
      <c r="E15" s="5">
        <f t="shared" si="3"/>
        <v>0.81553856091354582</v>
      </c>
      <c r="H15">
        <f t="shared" si="0"/>
        <v>5.0041495009422299</v>
      </c>
      <c r="K15" t="str">
        <f t="shared" si="1"/>
        <v>(2014, 5.00414950094223)</v>
      </c>
      <c r="V15" s="3"/>
      <c r="W15" s="4"/>
    </row>
    <row r="16" spans="1:23" x14ac:dyDescent="0.2">
      <c r="A16" s="6">
        <v>2015</v>
      </c>
      <c r="B16" s="5">
        <v>0.16352201998233795</v>
      </c>
      <c r="C16" s="5">
        <v>3.8071515560150146</v>
      </c>
      <c r="D16" s="5">
        <f t="shared" si="2"/>
        <v>0.14861627768305535</v>
      </c>
      <c r="E16" s="5">
        <f t="shared" si="3"/>
        <v>0.67799903640002079</v>
      </c>
      <c r="H16">
        <f t="shared" si="0"/>
        <v>4.7509444267511372</v>
      </c>
      <c r="K16" t="str">
        <f t="shared" si="1"/>
        <v>(2015, 4.75094442675114)</v>
      </c>
      <c r="V16" s="3"/>
      <c r="W16" s="4"/>
    </row>
    <row r="17" spans="1:23" x14ac:dyDescent="0.2">
      <c r="A17" s="6">
        <v>2016</v>
      </c>
      <c r="B17" s="5">
        <v>0.16459627449512482</v>
      </c>
      <c r="C17" s="5">
        <v>3.553325891494751</v>
      </c>
      <c r="D17" s="5">
        <f t="shared" si="2"/>
        <v>0.13249018794714884</v>
      </c>
      <c r="E17" s="5">
        <f t="shared" si="3"/>
        <v>0.59403413835682206</v>
      </c>
      <c r="H17">
        <f t="shared" si="0"/>
        <v>4.4341953799963001</v>
      </c>
      <c r="K17" t="str">
        <f t="shared" si="1"/>
        <v>(2016, 4.4341953799963)</v>
      </c>
      <c r="V17" s="3"/>
      <c r="W17" s="4"/>
    </row>
    <row r="18" spans="1:23" x14ac:dyDescent="0.2">
      <c r="A18" s="6">
        <v>2017</v>
      </c>
      <c r="B18" s="5">
        <v>0.17378048598766327</v>
      </c>
      <c r="C18" s="5">
        <v>3.2257852554321289</v>
      </c>
      <c r="D18" s="5">
        <f t="shared" si="2"/>
        <v>0.15762893374662787</v>
      </c>
      <c r="E18" s="5">
        <f t="shared" si="3"/>
        <v>0.53627420737760756</v>
      </c>
      <c r="H18">
        <f t="shared" si="0"/>
        <v>4.0254574202537539</v>
      </c>
      <c r="K18" t="str">
        <f t="shared" si="1"/>
        <v>(2017, 4.02545742025375)</v>
      </c>
      <c r="V18" s="3"/>
      <c r="W18" s="4"/>
    </row>
    <row r="19" spans="1:23" x14ac:dyDescent="0.2">
      <c r="A19" s="6">
        <v>2018</v>
      </c>
      <c r="B19" s="5">
        <v>0.1840490847826004</v>
      </c>
      <c r="C19" s="5">
        <v>2.9942643642425537</v>
      </c>
      <c r="D19" s="5">
        <f t="shared" si="2"/>
        <v>0.17767829406015972</v>
      </c>
      <c r="E19" s="5">
        <f>-LN(C19/C14)</f>
        <v>0.41058036315010366</v>
      </c>
      <c r="H19">
        <f>C19*$F$2</f>
        <v>3.7365425001382828</v>
      </c>
      <c r="K19" t="str">
        <f t="shared" si="1"/>
        <v>(2018, 3.73654250013828)</v>
      </c>
      <c r="V19" s="3"/>
      <c r="W19" s="4"/>
    </row>
    <row r="20" spans="1:23" x14ac:dyDescent="0.2">
      <c r="A20" s="6"/>
    </row>
    <row r="21" spans="1:23" x14ac:dyDescent="0.2">
      <c r="A21" s="6"/>
    </row>
    <row r="30" spans="1:23" x14ac:dyDescent="0.2">
      <c r="A30" t="s">
        <v>20</v>
      </c>
    </row>
    <row r="32" spans="1:23" x14ac:dyDescent="0.2">
      <c r="A32" s="1"/>
      <c r="B32" s="1" t="s">
        <v>21</v>
      </c>
      <c r="C32" s="1" t="s">
        <v>22</v>
      </c>
      <c r="E32" t="s">
        <v>35</v>
      </c>
    </row>
    <row r="33" spans="1:8" x14ac:dyDescent="0.2">
      <c r="A33" s="1" t="s">
        <v>23</v>
      </c>
      <c r="B33" s="1" t="s">
        <v>24</v>
      </c>
      <c r="C33" s="1" t="s">
        <v>24</v>
      </c>
      <c r="E33">
        <v>1.0756600000000001</v>
      </c>
      <c r="G33" s="1"/>
      <c r="H33" s="1"/>
    </row>
    <row r="34" spans="1:8" x14ac:dyDescent="0.2">
      <c r="A34" s="1">
        <v>2010</v>
      </c>
      <c r="B34" s="1">
        <v>27.1</v>
      </c>
      <c r="C34" s="1">
        <v>25.6</v>
      </c>
      <c r="G34" s="1"/>
      <c r="H34" s="1"/>
    </row>
    <row r="35" spans="1:8" x14ac:dyDescent="0.2">
      <c r="A35" s="1">
        <v>2011</v>
      </c>
      <c r="B35" s="1">
        <v>24</v>
      </c>
      <c r="C35" s="1">
        <v>23.5</v>
      </c>
      <c r="D35">
        <f>-LN(C35/C34)</f>
        <v>8.5591930335403507E-2</v>
      </c>
      <c r="G35" s="1"/>
      <c r="H35" s="1"/>
    </row>
    <row r="36" spans="1:8" x14ac:dyDescent="0.2">
      <c r="A36" s="1">
        <v>2012</v>
      </c>
      <c r="B36" s="1">
        <v>23.4</v>
      </c>
      <c r="C36" s="1">
        <v>18.2</v>
      </c>
      <c r="D36">
        <f t="shared" ref="D36:D46" si="4">-LN(C36/C35)</f>
        <v>0.25557882706736362</v>
      </c>
      <c r="G36" s="1"/>
      <c r="H36" s="1"/>
    </row>
    <row r="37" spans="1:8" x14ac:dyDescent="0.2">
      <c r="A37" s="1">
        <v>2013</v>
      </c>
      <c r="B37" s="1">
        <v>22.9</v>
      </c>
      <c r="C37" s="1">
        <v>15.4</v>
      </c>
      <c r="D37">
        <f t="shared" si="4"/>
        <v>0.16705408466316607</v>
      </c>
      <c r="G37" s="1"/>
      <c r="H37" s="1"/>
    </row>
    <row r="38" spans="1:8" x14ac:dyDescent="0.2">
      <c r="A38" s="1">
        <v>2014</v>
      </c>
      <c r="B38" s="1">
        <v>22.4</v>
      </c>
      <c r="C38" s="1">
        <v>13.7</v>
      </c>
      <c r="D38">
        <f t="shared" si="4"/>
        <v>0.11697167658550435</v>
      </c>
      <c r="G38" s="1"/>
      <c r="H38" s="1"/>
    </row>
    <row r="39" spans="1:8" x14ac:dyDescent="0.2">
      <c r="A39" s="1">
        <v>2015</v>
      </c>
      <c r="B39" s="1">
        <v>21.7</v>
      </c>
      <c r="C39" s="1">
        <v>12.4</v>
      </c>
      <c r="D39">
        <f t="shared" si="4"/>
        <v>9.9699360223087924E-2</v>
      </c>
      <c r="G39" s="1"/>
      <c r="H39" s="1"/>
    </row>
    <row r="40" spans="1:8" x14ac:dyDescent="0.2">
      <c r="A40" s="1">
        <v>2016</v>
      </c>
      <c r="B40" s="1">
        <v>21.1</v>
      </c>
      <c r="C40" s="1">
        <v>11.3</v>
      </c>
      <c r="D40">
        <f t="shared" si="4"/>
        <v>9.2893746892696208E-2</v>
      </c>
      <c r="G40" s="1"/>
      <c r="H40" s="1"/>
    </row>
    <row r="41" spans="1:8" x14ac:dyDescent="0.2">
      <c r="A41" s="1">
        <v>2017</v>
      </c>
      <c r="B41" s="1">
        <v>21.5</v>
      </c>
      <c r="C41" s="1">
        <v>10.9</v>
      </c>
      <c r="D41">
        <f t="shared" si="4"/>
        <v>3.6039936483196928E-2</v>
      </c>
      <c r="G41" s="1"/>
      <c r="H41" s="1"/>
    </row>
    <row r="42" spans="1:8" x14ac:dyDescent="0.2">
      <c r="A42" s="1">
        <v>2018</v>
      </c>
      <c r="B42" s="1">
        <v>20.100000000000001</v>
      </c>
      <c r="C42" s="1">
        <v>10.4</v>
      </c>
      <c r="D42">
        <f t="shared" si="4"/>
        <v>4.6956983087770979E-2</v>
      </c>
      <c r="G42" s="1"/>
      <c r="H42" s="1"/>
    </row>
    <row r="43" spans="1:8" x14ac:dyDescent="0.2">
      <c r="A43" s="1">
        <v>2019</v>
      </c>
      <c r="B43" s="1">
        <v>19.2</v>
      </c>
      <c r="C43" s="1">
        <v>9.9</v>
      </c>
      <c r="D43">
        <f t="shared" si="4"/>
        <v>4.9271049006782794E-2</v>
      </c>
      <c r="G43" s="1"/>
      <c r="H43" s="1"/>
    </row>
    <row r="44" spans="1:8" x14ac:dyDescent="0.2">
      <c r="A44" s="1">
        <v>2020</v>
      </c>
      <c r="B44" s="1">
        <v>18.2</v>
      </c>
      <c r="C44" s="1">
        <v>9.6</v>
      </c>
      <c r="D44">
        <f t="shared" si="4"/>
        <v>3.0771658666753774E-2</v>
      </c>
      <c r="G44" s="1"/>
      <c r="H44" s="1"/>
    </row>
    <row r="45" spans="1:8" x14ac:dyDescent="0.2">
      <c r="A45" s="1">
        <v>2021</v>
      </c>
      <c r="B45" s="1">
        <v>18.2</v>
      </c>
      <c r="C45" s="1">
        <v>9.6</v>
      </c>
      <c r="D45">
        <f t="shared" si="4"/>
        <v>0</v>
      </c>
      <c r="G45" s="1"/>
      <c r="H45" s="1"/>
    </row>
    <row r="46" spans="1:8" x14ac:dyDescent="0.2">
      <c r="A46" s="1">
        <v>2022</v>
      </c>
      <c r="B46" s="1">
        <v>17.8</v>
      </c>
      <c r="C46" s="1">
        <v>9.1999999999999993</v>
      </c>
      <c r="D46">
        <f t="shared" si="4"/>
        <v>4.2559614418796007E-2</v>
      </c>
      <c r="G46" s="1"/>
      <c r="H46" s="1"/>
    </row>
    <row r="47" spans="1:8" x14ac:dyDescent="0.2">
      <c r="G47" s="1"/>
      <c r="H47" s="1"/>
    </row>
    <row r="48" spans="1:8" x14ac:dyDescent="0.2">
      <c r="G48" s="1"/>
      <c r="H48" s="1"/>
    </row>
    <row r="49" spans="7:8" x14ac:dyDescent="0.2">
      <c r="G49" s="1"/>
      <c r="H49" s="1"/>
    </row>
    <row r="50" spans="7:8" x14ac:dyDescent="0.2">
      <c r="G50" s="1"/>
      <c r="H50" s="1"/>
    </row>
    <row r="51" spans="7:8" x14ac:dyDescent="0.2">
      <c r="G51" s="1"/>
      <c r="H51" s="1"/>
    </row>
    <row r="52" spans="7:8" x14ac:dyDescent="0.2">
      <c r="G52" s="1"/>
      <c r="H52" s="1"/>
    </row>
    <row r="53" spans="7:8" x14ac:dyDescent="0.2">
      <c r="G53" s="1"/>
      <c r="H53" s="1"/>
    </row>
    <row r="54" spans="7:8" x14ac:dyDescent="0.2">
      <c r="G54" s="1"/>
      <c r="H54" s="1"/>
    </row>
    <row r="55" spans="7:8" x14ac:dyDescent="0.2">
      <c r="G55" s="1"/>
      <c r="H55" s="1"/>
    </row>
    <row r="56" spans="7:8" x14ac:dyDescent="0.2">
      <c r="G56" s="1"/>
      <c r="H56" s="1"/>
    </row>
    <row r="57" spans="7:8" x14ac:dyDescent="0.2">
      <c r="G57" s="1"/>
      <c r="H57" s="1"/>
    </row>
    <row r="58" spans="7:8" x14ac:dyDescent="0.2">
      <c r="G58" s="1"/>
      <c r="H58" s="1"/>
    </row>
    <row r="59" spans="7:8" x14ac:dyDescent="0.2">
      <c r="G59" s="1"/>
      <c r="H59" s="1"/>
    </row>
    <row r="60" spans="7:8" x14ac:dyDescent="0.2">
      <c r="G60" s="1"/>
      <c r="H60" s="1"/>
    </row>
    <row r="61" spans="7:8" x14ac:dyDescent="0.2">
      <c r="G61" s="1"/>
      <c r="H61" s="1"/>
    </row>
    <row r="62" spans="7:8" x14ac:dyDescent="0.2">
      <c r="G62" s="1"/>
      <c r="H62" s="1"/>
    </row>
    <row r="63" spans="7:8" x14ac:dyDescent="0.2">
      <c r="G63" s="1"/>
      <c r="H63" s="1"/>
    </row>
    <row r="64" spans="7:8" x14ac:dyDescent="0.2">
      <c r="G64" s="1"/>
      <c r="H64" s="1"/>
    </row>
    <row r="71" spans="1:7" x14ac:dyDescent="0.2">
      <c r="A71" t="s">
        <v>0</v>
      </c>
      <c r="B71" t="s">
        <v>17</v>
      </c>
      <c r="C71" t="s">
        <v>18</v>
      </c>
      <c r="D71" t="s">
        <v>25</v>
      </c>
      <c r="E71" t="s">
        <v>26</v>
      </c>
      <c r="F71" t="s">
        <v>27</v>
      </c>
      <c r="G71" t="s">
        <v>28</v>
      </c>
    </row>
    <row r="72" spans="1:7" x14ac:dyDescent="0.2">
      <c r="A72" t="s">
        <v>1</v>
      </c>
      <c r="B72" s="2">
        <v>20047.09</v>
      </c>
      <c r="C72" s="2">
        <v>32570.23</v>
      </c>
      <c r="D72" s="2">
        <v>631742.35</v>
      </c>
      <c r="E72" s="2">
        <v>945275.96</v>
      </c>
      <c r="F72" s="2">
        <v>3190170.44</v>
      </c>
      <c r="G72" s="2">
        <v>5832190.2199999997</v>
      </c>
    </row>
    <row r="73" spans="1:7" x14ac:dyDescent="0.2">
      <c r="A73" t="s">
        <v>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">
      <c r="A74" t="s">
        <v>11</v>
      </c>
      <c r="B74">
        <v>25</v>
      </c>
      <c r="C74">
        <v>25</v>
      </c>
      <c r="D74">
        <v>25</v>
      </c>
      <c r="E74">
        <v>25</v>
      </c>
      <c r="F74">
        <v>25</v>
      </c>
      <c r="G74">
        <v>25</v>
      </c>
    </row>
    <row r="75" spans="1:7" x14ac:dyDescent="0.2">
      <c r="A75" t="s">
        <v>12</v>
      </c>
      <c r="B75">
        <v>5.0000000000000001E-3</v>
      </c>
      <c r="C75">
        <v>5.0000000000000001E-3</v>
      </c>
      <c r="D75">
        <v>5.0000000000000001E-3</v>
      </c>
      <c r="E75">
        <v>5.0000000000000001E-3</v>
      </c>
      <c r="F75">
        <v>5.0000000000000001E-3</v>
      </c>
      <c r="G75">
        <v>5.0000000000000001E-3</v>
      </c>
    </row>
    <row r="76" spans="1:7" x14ac:dyDescent="0.2">
      <c r="A76" t="s">
        <v>13</v>
      </c>
      <c r="B76">
        <v>156.03754062836398</v>
      </c>
      <c r="C76">
        <v>312.07508125672797</v>
      </c>
      <c r="D76" s="2">
        <v>5011.5586578286311</v>
      </c>
      <c r="E76" s="2">
        <v>10023.117315657262</v>
      </c>
      <c r="F76" s="2">
        <v>50115.586578286311</v>
      </c>
      <c r="G76" s="2">
        <v>100231.17315657262</v>
      </c>
    </row>
    <row r="77" spans="1:7" x14ac:dyDescent="0.2">
      <c r="A77" t="s">
        <v>14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</row>
    <row r="78" spans="1:7" x14ac:dyDescent="0.2">
      <c r="A78" t="s">
        <v>15</v>
      </c>
      <c r="B78">
        <f>1/25</f>
        <v>0.04</v>
      </c>
      <c r="C78">
        <f t="shared" ref="C78:G78" si="5">1/25</f>
        <v>0.04</v>
      </c>
      <c r="D78">
        <f t="shared" si="5"/>
        <v>0.04</v>
      </c>
      <c r="E78">
        <f t="shared" si="5"/>
        <v>0.04</v>
      </c>
      <c r="F78">
        <f t="shared" si="5"/>
        <v>0.04</v>
      </c>
      <c r="G78">
        <f t="shared" si="5"/>
        <v>0.04</v>
      </c>
    </row>
    <row r="79" spans="1:7" x14ac:dyDescent="0.2">
      <c r="A79" t="s">
        <v>16</v>
      </c>
      <c r="B79">
        <f>B72*0.58</f>
        <v>11627.312199999998</v>
      </c>
      <c r="C79">
        <f>C72*0.58</f>
        <v>18890.733399999997</v>
      </c>
      <c r="D79">
        <f t="shared" ref="D79:E79" si="6">D72*0.58</f>
        <v>366410.56299999997</v>
      </c>
      <c r="E79">
        <f t="shared" si="6"/>
        <v>548260.0567999999</v>
      </c>
      <c r="F79">
        <f>F72*0.58</f>
        <v>1850298.8551999999</v>
      </c>
      <c r="G79">
        <f>G72*0.58</f>
        <v>3382670.3275999995</v>
      </c>
    </row>
    <row r="80" spans="1:7" x14ac:dyDescent="0.2">
      <c r="A80" t="s">
        <v>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">
      <c r="A81" t="s">
        <v>29</v>
      </c>
      <c r="B81">
        <v>0.91825292799460578</v>
      </c>
      <c r="C81">
        <v>0.91825292799460578</v>
      </c>
      <c r="D81">
        <v>0.91825292799460578</v>
      </c>
      <c r="E81">
        <v>0.91825292799460578</v>
      </c>
      <c r="F81">
        <v>0.91825292799460578</v>
      </c>
      <c r="G81">
        <v>0.91825292799460578</v>
      </c>
    </row>
    <row r="82" spans="1:7" x14ac:dyDescent="0.2">
      <c r="A82" t="s">
        <v>30</v>
      </c>
      <c r="B82">
        <v>88</v>
      </c>
      <c r="C82">
        <v>177</v>
      </c>
      <c r="D82">
        <v>2837</v>
      </c>
      <c r="E82">
        <v>5674</v>
      </c>
      <c r="F82">
        <v>28370</v>
      </c>
      <c r="G82">
        <v>56739</v>
      </c>
    </row>
  </sheetData>
  <mergeCells count="1">
    <mergeCell ref="V1:W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Initial values</vt:lpstr>
      <vt:lpstr>Advancements3</vt:lpstr>
      <vt:lpstr>Advancements2</vt:lpstr>
      <vt:lpstr>Advancements1</vt:lpstr>
      <vt:lpstr>Additional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2024-07-31T20:05:29Z</dcterms:created>
  <dcterms:modified xsi:type="dcterms:W3CDTF">2026-01-15T10:26:12Z</dcterms:modified>
</cp:coreProperties>
</file>