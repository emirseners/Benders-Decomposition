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mirsener/Desktop/Benders-Decomposition/Data/"/>
    </mc:Choice>
  </mc:AlternateContent>
  <xr:revisionPtr revIDLastSave="0" documentId="13_ncr:1_{97D78836-E27B-974C-9C2D-85FD63E7F1DB}" xr6:coauthVersionLast="47" xr6:coauthVersionMax="47" xr10:uidLastSave="{00000000-0000-0000-0000-000000000000}"/>
  <bookViews>
    <workbookView xWindow="0" yWindow="660" windowWidth="34560" windowHeight="20060" xr2:uid="{EDF38AB8-B67A-6545-84A8-C231FAB8949A}"/>
  </bookViews>
  <sheets>
    <sheet name="Initial values" sheetId="7" r:id="rId1"/>
    <sheet name="Advancements1" sheetId="2" r:id="rId2"/>
    <sheet name="Additional" sheetId="8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7" l="1"/>
  <c r="C3" i="8"/>
  <c r="B7" i="7" l="1"/>
  <c r="O4" i="8" l="1"/>
  <c r="O3" i="8"/>
  <c r="M21" i="8"/>
  <c r="F14" i="8"/>
  <c r="F15" i="8" s="1"/>
  <c r="F16" i="8" s="1"/>
  <c r="C4" i="8"/>
  <c r="C5" i="8"/>
  <c r="C6" i="8"/>
  <c r="C7" i="8"/>
  <c r="C8" i="8"/>
  <c r="C9" i="8"/>
  <c r="C10" i="8"/>
  <c r="C11" i="8"/>
  <c r="C12" i="8"/>
  <c r="C13" i="8"/>
  <c r="C14" i="8"/>
  <c r="C15" i="8"/>
  <c r="C16" i="8"/>
</calcChain>
</file>

<file path=xl/sharedStrings.xml><?xml version="1.0" encoding="utf-8"?>
<sst xmlns="http://schemas.openxmlformats.org/spreadsheetml/2006/main" count="25" uniqueCount="24">
  <si>
    <t>Metrics</t>
  </si>
  <si>
    <t>Initial Cost</t>
  </si>
  <si>
    <t>Probabilities</t>
  </si>
  <si>
    <t>Cost Multiplier</t>
  </si>
  <si>
    <t>Efficiency Multiplier</t>
  </si>
  <si>
    <t>Cost Ratio</t>
  </si>
  <si>
    <t>Efficiency Ratio</t>
  </si>
  <si>
    <t>Scenario1</t>
  </si>
  <si>
    <t>Lifetime</t>
  </si>
  <si>
    <t>Degradation rate</t>
  </si>
  <si>
    <t>Initial O&amp;M cost</t>
  </si>
  <si>
    <t>Depreciation rate</t>
  </si>
  <si>
    <t>Initial Amount</t>
  </si>
  <si>
    <t>Version1</t>
  </si>
  <si>
    <t>O&amp;M cost change by year</t>
  </si>
  <si>
    <t>Spatial requirement</t>
  </si>
  <si>
    <t>Global weighted average 2024USD/kW installation cost</t>
  </si>
  <si>
    <t>https://www.irena.org/-/media/Files/IRENA/Agency/Publication/2025/Jul/IRENA_TEC_RPGC_in_2024_2025.pdf</t>
  </si>
  <si>
    <t>Year</t>
  </si>
  <si>
    <t>Yearly reduction</t>
  </si>
  <si>
    <t>5 year reduction</t>
  </si>
  <si>
    <t>Average 2010-2024</t>
  </si>
  <si>
    <t>degradation</t>
  </si>
  <si>
    <t>https://www.sciencedirect.com/science/article/pii/S2590123025005031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</si>
</sst>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725714</xdr:colOff>
      <xdr:row>5</xdr:row>
      <xdr:rowOff>105038</xdr:rowOff>
    </xdr:from>
    <xdr:to>
      <xdr:col>16</xdr:col>
      <xdr:colOff>286084</xdr:colOff>
      <xdr:row>19</xdr:row>
      <xdr:rowOff>55049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E23D95-044E-87CD-9623-2592F2509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44962" y="1107670"/>
          <a:ext cx="7772400" cy="27573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F904E-92CB-A441-A858-D728B93340E4}">
  <dimension ref="A1:C9"/>
  <sheetViews>
    <sheetView tabSelected="1" zoomScale="200" zoomScaleNormal="137" workbookViewId="0">
      <selection activeCell="B9" sqref="B9"/>
    </sheetView>
  </sheetViews>
  <sheetFormatPr baseColWidth="10" defaultRowHeight="16" x14ac:dyDescent="0.2"/>
  <cols>
    <col min="1" max="1" width="25.6640625" bestFit="1" customWidth="1"/>
    <col min="2" max="2" width="12" customWidth="1"/>
  </cols>
  <sheetData>
    <row r="1" spans="1:3" x14ac:dyDescent="0.2">
      <c r="A1" t="s">
        <v>0</v>
      </c>
      <c r="B1" t="s">
        <v>13</v>
      </c>
    </row>
    <row r="2" spans="1:3" x14ac:dyDescent="0.2">
      <c r="A2" t="s">
        <v>1</v>
      </c>
      <c r="B2">
        <v>2812480</v>
      </c>
      <c r="C2" s="1"/>
    </row>
    <row r="3" spans="1:3" x14ac:dyDescent="0.2">
      <c r="A3" t="s">
        <v>8</v>
      </c>
      <c r="B3">
        <v>25</v>
      </c>
    </row>
    <row r="4" spans="1:3" x14ac:dyDescent="0.2">
      <c r="A4" t="s">
        <v>9</v>
      </c>
      <c r="B4">
        <v>2E-3</v>
      </c>
    </row>
    <row r="5" spans="1:3" x14ac:dyDescent="0.2">
      <c r="A5" t="s">
        <v>10</v>
      </c>
      <c r="B5">
        <f>B2*0.02</f>
        <v>56249.599999999999</v>
      </c>
    </row>
    <row r="6" spans="1:3" x14ac:dyDescent="0.2">
      <c r="A6" t="s">
        <v>14</v>
      </c>
      <c r="B6">
        <v>1</v>
      </c>
    </row>
    <row r="7" spans="1:3" x14ac:dyDescent="0.2">
      <c r="A7" t="s">
        <v>11</v>
      </c>
      <c r="B7">
        <f>1/B3</f>
        <v>0.04</v>
      </c>
    </row>
    <row r="8" spans="1:3" x14ac:dyDescent="0.2">
      <c r="A8" t="s">
        <v>15</v>
      </c>
      <c r="B8">
        <v>5280</v>
      </c>
    </row>
    <row r="9" spans="1:3" x14ac:dyDescent="0.2">
      <c r="A9" t="s">
        <v>12</v>
      </c>
      <c r="B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734CF1-7336-B242-BB78-8AD8C045F5E6}">
  <dimension ref="A1:B6"/>
  <sheetViews>
    <sheetView zoomScale="200" workbookViewId="0">
      <selection activeCell="C8" sqref="C8"/>
    </sheetView>
  </sheetViews>
  <sheetFormatPr baseColWidth="10" defaultRowHeight="16" x14ac:dyDescent="0.2"/>
  <cols>
    <col min="1" max="1" width="26.1640625" bestFit="1" customWidth="1"/>
    <col min="3" max="3" width="11.33203125" bestFit="1" customWidth="1"/>
    <col min="4" max="4" width="13.1640625" bestFit="1" customWidth="1"/>
    <col min="5" max="5" width="17.6640625" bestFit="1" customWidth="1"/>
    <col min="6" max="7" width="17.6640625" customWidth="1"/>
    <col min="8" max="8" width="17.1640625" bestFit="1" customWidth="1"/>
    <col min="9" max="9" width="25.1640625" bestFit="1" customWidth="1"/>
    <col min="10" max="10" width="26.1640625" bestFit="1" customWidth="1"/>
    <col min="11" max="11" width="17.83203125" bestFit="1" customWidth="1"/>
    <col min="12" max="12" width="16.6640625" bestFit="1" customWidth="1"/>
  </cols>
  <sheetData>
    <row r="1" spans="1:2" x14ac:dyDescent="0.2">
      <c r="A1" t="s">
        <v>0</v>
      </c>
      <c r="B1" t="s">
        <v>7</v>
      </c>
    </row>
    <row r="2" spans="1:2" x14ac:dyDescent="0.2">
      <c r="A2" t="s">
        <v>2</v>
      </c>
      <c r="B2">
        <v>1</v>
      </c>
    </row>
    <row r="3" spans="1:2" x14ac:dyDescent="0.2">
      <c r="A3" t="s">
        <v>5</v>
      </c>
      <c r="B3">
        <v>7.6300000000000007E-2</v>
      </c>
    </row>
    <row r="4" spans="1:2" x14ac:dyDescent="0.2">
      <c r="A4" t="s">
        <v>6</v>
      </c>
      <c r="B4">
        <v>0</v>
      </c>
    </row>
    <row r="5" spans="1:2" x14ac:dyDescent="0.2">
      <c r="A5" t="s">
        <v>3</v>
      </c>
      <c r="B5">
        <v>0.68279999999999996</v>
      </c>
    </row>
    <row r="6" spans="1:2" x14ac:dyDescent="0.2">
      <c r="A6" t="s">
        <v>4</v>
      </c>
      <c r="B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A93B79-6FD1-314F-A533-A7F41BFED4BD}">
  <dimension ref="A1:O23"/>
  <sheetViews>
    <sheetView zoomScale="161" workbookViewId="0">
      <selection activeCell="C3" sqref="C3"/>
    </sheetView>
  </sheetViews>
  <sheetFormatPr baseColWidth="10" defaultRowHeight="16" x14ac:dyDescent="0.2"/>
  <cols>
    <col min="5" max="5" width="17.1640625" bestFit="1" customWidth="1"/>
    <col min="6" max="6" width="12.1640625" bestFit="1" customWidth="1"/>
  </cols>
  <sheetData>
    <row r="1" spans="1:15" x14ac:dyDescent="0.2">
      <c r="A1" t="s">
        <v>18</v>
      </c>
      <c r="B1" t="s">
        <v>16</v>
      </c>
      <c r="G1" t="s">
        <v>17</v>
      </c>
    </row>
    <row r="2" spans="1:15" x14ac:dyDescent="0.2">
      <c r="A2">
        <v>2010</v>
      </c>
      <c r="B2">
        <v>10703</v>
      </c>
    </row>
    <row r="3" spans="1:15" x14ac:dyDescent="0.2">
      <c r="A3">
        <v>2011</v>
      </c>
      <c r="B3">
        <v>12610</v>
      </c>
      <c r="C3">
        <f>-LN(B3/B2)</f>
        <v>-0.16396607397458968</v>
      </c>
      <c r="H3">
        <v>30</v>
      </c>
      <c r="J3">
        <v>11</v>
      </c>
      <c r="L3">
        <v>18</v>
      </c>
      <c r="M3">
        <v>8</v>
      </c>
      <c r="O3">
        <f>SUM(H3:M3)</f>
        <v>67</v>
      </c>
    </row>
    <row r="4" spans="1:15" x14ac:dyDescent="0.2">
      <c r="A4">
        <v>2012</v>
      </c>
      <c r="B4">
        <v>9745</v>
      </c>
      <c r="C4">
        <f>-LN(B4/B3)</f>
        <v>0.25773581701730403</v>
      </c>
      <c r="O4">
        <f>(67-37)/67</f>
        <v>0.44776119402985076</v>
      </c>
    </row>
    <row r="5" spans="1:15" x14ac:dyDescent="0.2">
      <c r="A5">
        <v>2013</v>
      </c>
      <c r="B5">
        <v>7645</v>
      </c>
      <c r="C5">
        <f t="shared" ref="C5:C16" si="0">-LN(B5/B4)</f>
        <v>0.24270249357849852</v>
      </c>
    </row>
    <row r="6" spans="1:15" x14ac:dyDescent="0.2">
      <c r="A6">
        <v>2014</v>
      </c>
      <c r="B6">
        <v>6562</v>
      </c>
      <c r="C6">
        <f t="shared" si="0"/>
        <v>0.15275640484211567</v>
      </c>
    </row>
    <row r="7" spans="1:15" x14ac:dyDescent="0.2">
      <c r="A7">
        <v>2015</v>
      </c>
      <c r="B7">
        <v>8767</v>
      </c>
      <c r="C7">
        <f t="shared" si="0"/>
        <v>-0.28969923806753872</v>
      </c>
    </row>
    <row r="8" spans="1:15" x14ac:dyDescent="0.2">
      <c r="A8">
        <v>2016</v>
      </c>
      <c r="B8">
        <v>9215</v>
      </c>
      <c r="C8">
        <f t="shared" si="0"/>
        <v>-4.9837918515338156E-2</v>
      </c>
    </row>
    <row r="9" spans="1:15" x14ac:dyDescent="0.2">
      <c r="A9">
        <v>2017</v>
      </c>
      <c r="B9">
        <v>8723</v>
      </c>
      <c r="C9">
        <f t="shared" si="0"/>
        <v>5.4869375670705087E-2</v>
      </c>
    </row>
    <row r="10" spans="1:15" x14ac:dyDescent="0.2">
      <c r="A10">
        <v>2018</v>
      </c>
      <c r="B10">
        <v>6256</v>
      </c>
      <c r="C10">
        <f t="shared" si="0"/>
        <v>0.33242221220807155</v>
      </c>
    </row>
    <row r="11" spans="1:15" x14ac:dyDescent="0.2">
      <c r="A11">
        <v>2019</v>
      </c>
      <c r="B11">
        <v>7838</v>
      </c>
      <c r="C11">
        <f t="shared" si="0"/>
        <v>-0.22544269653442975</v>
      </c>
    </row>
    <row r="12" spans="1:15" x14ac:dyDescent="0.2">
      <c r="A12">
        <v>2020</v>
      </c>
      <c r="B12">
        <v>5391</v>
      </c>
      <c r="C12">
        <f t="shared" si="0"/>
        <v>0.37425280330790806</v>
      </c>
    </row>
    <row r="13" spans="1:15" x14ac:dyDescent="0.2">
      <c r="A13">
        <v>2021</v>
      </c>
      <c r="B13">
        <v>10326</v>
      </c>
      <c r="C13">
        <f t="shared" si="0"/>
        <v>-0.64993408998792568</v>
      </c>
    </row>
    <row r="14" spans="1:15" x14ac:dyDescent="0.2">
      <c r="A14">
        <v>2022</v>
      </c>
      <c r="B14">
        <v>4537</v>
      </c>
      <c r="C14">
        <f t="shared" si="0"/>
        <v>0.82239898577563053</v>
      </c>
      <c r="E14" t="s">
        <v>21</v>
      </c>
      <c r="F14">
        <f>AVERAGE(C:C)</f>
        <v>7.6316205263078807E-2</v>
      </c>
    </row>
    <row r="15" spans="1:15" x14ac:dyDescent="0.2">
      <c r="A15">
        <v>2023</v>
      </c>
      <c r="B15">
        <v>6746</v>
      </c>
      <c r="C15">
        <f t="shared" si="0"/>
        <v>-0.39668373595763162</v>
      </c>
      <c r="E15" t="s">
        <v>19</v>
      </c>
      <c r="F15">
        <f>EXP(-F14)</f>
        <v>0.92652318872629336</v>
      </c>
    </row>
    <row r="16" spans="1:15" x14ac:dyDescent="0.2">
      <c r="A16">
        <v>2024</v>
      </c>
      <c r="B16">
        <v>3677</v>
      </c>
      <c r="C16">
        <f t="shared" si="0"/>
        <v>0.6068525343203236</v>
      </c>
      <c r="E16" t="s">
        <v>20</v>
      </c>
      <c r="F16">
        <f>F15^5</f>
        <v>0.68278106058315535</v>
      </c>
    </row>
    <row r="21" spans="1:13" x14ac:dyDescent="0.2">
      <c r="M21">
        <f>(0.926)^5</f>
        <v>0.68085547387337619</v>
      </c>
    </row>
    <row r="23" spans="1:13" x14ac:dyDescent="0.2">
      <c r="A23" t="s">
        <v>22</v>
      </c>
      <c r="B23" t="s">
        <v>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Initial values</vt:lpstr>
      <vt:lpstr>Advancements1</vt:lpstr>
      <vt:lpstr>Additional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Ahmet Emir Şener</dc:creator>
  <cp:lastModifiedBy>Ahmet Emir Şener</cp:lastModifiedBy>
  <dcterms:created xsi:type="dcterms:W3CDTF">2024-07-31T20:05:29Z</dcterms:created>
  <dcterms:modified xsi:type="dcterms:W3CDTF">2026-03-18T15:39:31Z</dcterms:modified>
</cp:coreProperties>
</file>