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rsener/Desktop/Benders-Decomposition/Data/"/>
    </mc:Choice>
  </mc:AlternateContent>
  <xr:revisionPtr revIDLastSave="0" documentId="13_ncr:1_{06993353-2AE9-464D-A491-E10AE1218CDD}" xr6:coauthVersionLast="47" xr6:coauthVersionMax="47" xr10:uidLastSave="{00000000-0000-0000-0000-000000000000}"/>
  <bookViews>
    <workbookView xWindow="0" yWindow="660" windowWidth="34560" windowHeight="20060" xr2:uid="{EDF38AB8-B67A-6545-84A8-C231FAB8949A}"/>
  </bookViews>
  <sheets>
    <sheet name="Initial values" sheetId="7" r:id="rId1"/>
    <sheet name="Advancements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7" l="1"/>
  <c r="B2" i="7"/>
  <c r="B5" i="7" s="1"/>
  <c r="B5" i="2"/>
  <c r="B6" i="2"/>
</calcChain>
</file>

<file path=xl/sharedStrings.xml><?xml version="1.0" encoding="utf-8"?>
<sst xmlns="http://schemas.openxmlformats.org/spreadsheetml/2006/main" count="17" uniqueCount="16">
  <si>
    <t>Metrics</t>
  </si>
  <si>
    <t>Initial Cost</t>
  </si>
  <si>
    <t>Probabilities</t>
  </si>
  <si>
    <t>Cost Multiplier</t>
  </si>
  <si>
    <t>Efficiency Multiplier</t>
  </si>
  <si>
    <t>Cost Ratio</t>
  </si>
  <si>
    <t>Efficiency Ratio</t>
  </si>
  <si>
    <t>Scenario1</t>
  </si>
  <si>
    <t>Lifetime</t>
  </si>
  <si>
    <t>Degradation rate</t>
  </si>
  <si>
    <t>Initial O&amp;M cost</t>
  </si>
  <si>
    <t>Initial Amount</t>
  </si>
  <si>
    <t>Version1</t>
  </si>
  <si>
    <t>O&amp;M cost change by year</t>
  </si>
  <si>
    <t>Spatial requirement</t>
  </si>
  <si>
    <t>Conversion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</si>
</sst>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904E-92CB-A441-A858-D728B93340E4}">
  <dimension ref="A1:B9"/>
  <sheetViews>
    <sheetView tabSelected="1" zoomScale="305" zoomScaleNormal="137" workbookViewId="0">
      <selection activeCell="B10" sqref="B10"/>
    </sheetView>
  </sheetViews>
  <sheetFormatPr baseColWidth="10" defaultRowHeight="16" x14ac:dyDescent="0.2"/>
  <cols>
    <col min="1" max="1" width="25.6640625" bestFit="1" customWidth="1"/>
    <col min="2" max="2" width="12" customWidth="1"/>
  </cols>
  <sheetData>
    <row r="1" spans="1:2" x14ac:dyDescent="0.2">
      <c r="A1" t="s">
        <v>0</v>
      </c>
      <c r="B1" t="s">
        <v>12</v>
      </c>
    </row>
    <row r="2" spans="1:2" x14ac:dyDescent="0.2">
      <c r="A2" t="s">
        <v>1</v>
      </c>
      <c r="B2">
        <f>350*1000</f>
        <v>350000</v>
      </c>
    </row>
    <row r="3" spans="1:2" x14ac:dyDescent="0.2">
      <c r="A3" t="s">
        <v>8</v>
      </c>
      <c r="B3">
        <v>20</v>
      </c>
    </row>
    <row r="4" spans="1:2" x14ac:dyDescent="0.2">
      <c r="A4" t="s">
        <v>9</v>
      </c>
      <c r="B4">
        <v>0.01</v>
      </c>
    </row>
    <row r="5" spans="1:2" x14ac:dyDescent="0.2">
      <c r="A5" t="s">
        <v>10</v>
      </c>
      <c r="B5">
        <f>B2*0.02</f>
        <v>7000</v>
      </c>
    </row>
    <row r="6" spans="1:2" x14ac:dyDescent="0.2">
      <c r="A6" t="s">
        <v>13</v>
      </c>
      <c r="B6">
        <v>0</v>
      </c>
    </row>
    <row r="7" spans="1:2" x14ac:dyDescent="0.2">
      <c r="A7" t="s">
        <v>14</v>
      </c>
      <c r="B7">
        <f>0.5*1000</f>
        <v>500</v>
      </c>
    </row>
    <row r="8" spans="1:2" x14ac:dyDescent="0.2">
      <c r="A8" t="s">
        <v>11</v>
      </c>
      <c r="B8">
        <v>0</v>
      </c>
    </row>
    <row r="9" spans="1:2" x14ac:dyDescent="0.2">
      <c r="A9" t="s">
        <v>15</v>
      </c>
      <c r="B9">
        <v>0.85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4CF1-7336-B242-BB78-8AD8C045F5E6}">
  <dimension ref="A1:B6"/>
  <sheetViews>
    <sheetView zoomScale="200" workbookViewId="0">
      <selection activeCell="B7" sqref="B7"/>
    </sheetView>
  </sheetViews>
  <sheetFormatPr baseColWidth="10" defaultRowHeight="16" x14ac:dyDescent="0.2"/>
  <cols>
    <col min="1" max="1" width="26.1640625" bestFit="1" customWidth="1"/>
    <col min="3" max="3" width="11.33203125" bestFit="1" customWidth="1"/>
    <col min="4" max="4" width="13.1640625" bestFit="1" customWidth="1"/>
    <col min="5" max="5" width="17.6640625" bestFit="1" customWidth="1"/>
    <col min="6" max="7" width="17.6640625" customWidth="1"/>
    <col min="8" max="8" width="17.1640625" bestFit="1" customWidth="1"/>
    <col min="9" max="9" width="25.1640625" bestFit="1" customWidth="1"/>
    <col min="10" max="10" width="26.1640625" bestFit="1" customWidth="1"/>
    <col min="11" max="11" width="17.83203125" bestFit="1" customWidth="1"/>
    <col min="12" max="12" width="16.6640625" bestFit="1" customWidth="1"/>
  </cols>
  <sheetData>
    <row r="1" spans="1:2" x14ac:dyDescent="0.2">
      <c r="A1" t="s">
        <v>0</v>
      </c>
      <c r="B1" t="s">
        <v>7</v>
      </c>
    </row>
    <row r="2" spans="1:2" x14ac:dyDescent="0.2">
      <c r="A2" t="s">
        <v>2</v>
      </c>
      <c r="B2">
        <v>1</v>
      </c>
    </row>
    <row r="3" spans="1:2" x14ac:dyDescent="0.2">
      <c r="A3" t="s">
        <v>5</v>
      </c>
      <c r="B3">
        <v>0</v>
      </c>
    </row>
    <row r="4" spans="1:2" x14ac:dyDescent="0.2">
      <c r="A4" t="s">
        <v>6</v>
      </c>
      <c r="B4">
        <v>0</v>
      </c>
    </row>
    <row r="5" spans="1:2" x14ac:dyDescent="0.2">
      <c r="A5" t="s">
        <v>3</v>
      </c>
      <c r="B5">
        <f>EXP(-B3)</f>
        <v>1</v>
      </c>
    </row>
    <row r="6" spans="1:2" x14ac:dyDescent="0.2">
      <c r="A6" t="s">
        <v>4</v>
      </c>
      <c r="B6">
        <f>EXP(B4)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 values</vt:lpstr>
      <vt:lpstr>Advancements1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2024-07-31T20:05:29Z</dcterms:created>
  <dcterms:modified xsi:type="dcterms:W3CDTF">2026-03-14T08:07:56Z</dcterms:modified>
</cp:coreProperties>
</file>