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78BEA7D3-7DF3-2B48-8CE0-C76542C6EE5F}" xr6:coauthVersionLast="47" xr6:coauthVersionMax="47" xr10:uidLastSave="{00000000-0000-0000-0000-000000000000}"/>
  <bookViews>
    <workbookView xWindow="0" yWindow="760" windowWidth="34560" windowHeight="19600" activeTab="1" xr2:uid="{EDF38AB8-B67A-6545-84A8-C231FAB8949A}"/>
  </bookViews>
  <sheets>
    <sheet name="Initial values" sheetId="7" r:id="rId1"/>
    <sheet name="Advancements1" sheetId="2" r:id="rId2"/>
    <sheet name="Additional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7" i="7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" i="6"/>
  <c r="P19" i="6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W20" i="6" s="1"/>
  <c r="W21" i="6" s="1"/>
  <c r="Q4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2" i="6"/>
  <c r="J28" i="6"/>
  <c r="J29" i="6" s="1"/>
  <c r="J30" i="6" s="1"/>
  <c r="J31" i="6" s="1"/>
  <c r="J32" i="6" s="1"/>
  <c r="J33" i="6" s="1"/>
  <c r="J34" i="6" s="1"/>
  <c r="J35" i="6" s="1"/>
  <c r="J36" i="6" s="1"/>
  <c r="J37" i="6" s="1"/>
  <c r="F21" i="6"/>
  <c r="J21" i="6" l="1"/>
  <c r="J22" i="6" s="1"/>
  <c r="J23" i="6" s="1"/>
  <c r="J24" i="6" s="1"/>
  <c r="J25" i="6" s="1"/>
  <c r="J26" i="6" s="1"/>
  <c r="J27" i="6" s="1"/>
  <c r="J20" i="6"/>
  <c r="F27" i="6"/>
  <c r="F26" i="6"/>
  <c r="F25" i="6"/>
  <c r="F20" i="6"/>
  <c r="F19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3" i="6"/>
  <c r="B6" i="2" l="1"/>
</calcChain>
</file>

<file path=xl/sharedStrings.xml><?xml version="1.0" encoding="utf-8"?>
<sst xmlns="http://schemas.openxmlformats.org/spreadsheetml/2006/main" count="36" uniqueCount="29">
  <si>
    <t>Metrics</t>
  </si>
  <si>
    <t>Initial Cost</t>
  </si>
  <si>
    <t>Probabilities</t>
  </si>
  <si>
    <t>Cost Multiplier</t>
  </si>
  <si>
    <t>Efficiency Multiplier</t>
  </si>
  <si>
    <t>Cost Ratio</t>
  </si>
  <si>
    <t>Efficiency Ratio</t>
  </si>
  <si>
    <t>Scenario1</t>
  </si>
  <si>
    <t>Lifetime</t>
  </si>
  <si>
    <t>Degradation rate</t>
  </si>
  <si>
    <t>Initial O&amp;M cost</t>
  </si>
  <si>
    <t>Depreciation rate</t>
  </si>
  <si>
    <t>Initial Amount</t>
  </si>
  <si>
    <t>Version1</t>
  </si>
  <si>
    <t>Cumulative rate of inflation from 2022 to 2024</t>
  </si>
  <si>
    <t>O&amp;M costs (2022  USD/kW/year) IRENA</t>
  </si>
  <si>
    <t>Initial Full-Service Contracts</t>
  </si>
  <si>
    <t>Ln Ratio</t>
  </si>
  <si>
    <t>O&amp;M cost change by year</t>
  </si>
  <si>
    <t>Average Turbine Price 2022$/kW</t>
  </si>
  <si>
    <t>Year</t>
  </si>
  <si>
    <t>Average 2005-2022</t>
  </si>
  <si>
    <t>Yearly reduction</t>
  </si>
  <si>
    <t>5 year reduction</t>
  </si>
  <si>
    <t>Average 2009-2022</t>
  </si>
  <si>
    <t>Forecast</t>
  </si>
  <si>
    <t>Spatial requirement</t>
  </si>
  <si>
    <t>O&amp;M costs (2024  USD/kW/year) IRENA</t>
  </si>
  <si>
    <t>Average Turbine Price 2024$/kW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</si>
</sst>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904E-92CB-A441-A858-D728B93340E4}">
  <dimension ref="A1:B9"/>
  <sheetViews>
    <sheetView zoomScale="292" zoomScaleNormal="137" workbookViewId="0">
      <selection activeCell="A10" sqref="A10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2" x14ac:dyDescent="0.2">
      <c r="A1" t="s">
        <v>0</v>
      </c>
      <c r="B1" t="s">
        <v>13</v>
      </c>
    </row>
    <row r="2" spans="1:2" x14ac:dyDescent="0.2">
      <c r="A2" t="s">
        <v>1</v>
      </c>
      <c r="B2">
        <v>5430435</v>
      </c>
    </row>
    <row r="3" spans="1:2" x14ac:dyDescent="0.2">
      <c r="A3" t="s">
        <v>8</v>
      </c>
      <c r="B3">
        <v>25</v>
      </c>
    </row>
    <row r="4" spans="1:2" x14ac:dyDescent="0.2">
      <c r="A4" t="s">
        <v>9</v>
      </c>
      <c r="B4">
        <v>1.6E-2</v>
      </c>
    </row>
    <row r="5" spans="1:2" x14ac:dyDescent="0.2">
      <c r="A5" t="s">
        <v>10</v>
      </c>
      <c r="B5">
        <v>82435</v>
      </c>
    </row>
    <row r="6" spans="1:2" x14ac:dyDescent="0.2">
      <c r="A6" t="s">
        <v>18</v>
      </c>
      <c r="B6">
        <v>0.89800000000000002</v>
      </c>
    </row>
    <row r="7" spans="1:2" x14ac:dyDescent="0.2">
      <c r="A7" t="s">
        <v>11</v>
      </c>
      <c r="B7">
        <f>1/B3</f>
        <v>0.04</v>
      </c>
    </row>
    <row r="8" spans="1:2" x14ac:dyDescent="0.2">
      <c r="A8" t="s">
        <v>26</v>
      </c>
      <c r="B8">
        <v>86409</v>
      </c>
    </row>
    <row r="9" spans="1:2" x14ac:dyDescent="0.2">
      <c r="A9" t="s">
        <v>12</v>
      </c>
      <c r="B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B6"/>
  <sheetViews>
    <sheetView tabSelected="1" zoomScale="297" workbookViewId="0">
      <selection activeCell="B4" sqref="B4"/>
    </sheetView>
  </sheetViews>
  <sheetFormatPr baseColWidth="10" defaultRowHeight="16" x14ac:dyDescent="0.2"/>
  <cols>
    <col min="1" max="1" width="26.1640625" bestFit="1" customWidth="1"/>
    <col min="3" max="3" width="11.33203125" bestFit="1" customWidth="1"/>
    <col min="4" max="4" width="13.1640625" bestFit="1" customWidth="1"/>
    <col min="5" max="5" width="17.6640625" bestFit="1" customWidth="1"/>
    <col min="6" max="7" width="17.6640625" customWidth="1"/>
    <col min="8" max="8" width="17.1640625" bestFit="1" customWidth="1"/>
    <col min="9" max="9" width="25.1640625" bestFit="1" customWidth="1"/>
    <col min="10" max="10" width="26.1640625" bestFit="1" customWidth="1"/>
    <col min="11" max="11" width="17.83203125" bestFit="1" customWidth="1"/>
    <col min="12" max="12" width="16.6640625" bestFit="1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2</v>
      </c>
      <c r="B2">
        <v>1</v>
      </c>
    </row>
    <row r="3" spans="1:2" x14ac:dyDescent="0.2">
      <c r="A3" t="s">
        <v>5</v>
      </c>
      <c r="B3">
        <f>ROUND(-LN(B5)/5,4)</f>
        <v>4.0899999999999999E-2</v>
      </c>
    </row>
    <row r="4" spans="1:2" x14ac:dyDescent="0.2">
      <c r="A4" t="s">
        <v>6</v>
      </c>
      <c r="B4">
        <v>0</v>
      </c>
    </row>
    <row r="5" spans="1:2" x14ac:dyDescent="0.2">
      <c r="A5" t="s">
        <v>3</v>
      </c>
      <c r="B5">
        <v>0.81489999999999996</v>
      </c>
    </row>
    <row r="6" spans="1:2" x14ac:dyDescent="0.2">
      <c r="A6" t="s">
        <v>4</v>
      </c>
      <c r="B6">
        <f>EXP(B4)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B165-A228-534D-890C-7BD6A0C7E246}">
  <dimension ref="A1:W37"/>
  <sheetViews>
    <sheetView topLeftCell="F1" zoomScale="109" zoomScaleNormal="109" workbookViewId="0">
      <selection activeCell="O31" sqref="O31"/>
    </sheetView>
  </sheetViews>
  <sheetFormatPr baseColWidth="10" defaultRowHeight="16" x14ac:dyDescent="0.2"/>
  <cols>
    <col min="2" max="2" width="28.5" bestFit="1" customWidth="1"/>
    <col min="5" max="5" width="40.1640625" bestFit="1" customWidth="1"/>
    <col min="10" max="11" width="28.5" bestFit="1" customWidth="1"/>
    <col min="16" max="16" width="24.6640625" customWidth="1"/>
    <col min="21" max="21" width="24.1640625" customWidth="1"/>
  </cols>
  <sheetData>
    <row r="1" spans="1:23" x14ac:dyDescent="0.2">
      <c r="A1" t="s">
        <v>20</v>
      </c>
      <c r="B1" t="s">
        <v>19</v>
      </c>
      <c r="H1" t="s">
        <v>25</v>
      </c>
      <c r="I1" t="s">
        <v>20</v>
      </c>
      <c r="J1" t="s">
        <v>19</v>
      </c>
      <c r="K1" t="s">
        <v>28</v>
      </c>
      <c r="O1" s="7" t="s">
        <v>15</v>
      </c>
      <c r="P1" s="7"/>
      <c r="Q1" s="7"/>
      <c r="R1" s="6"/>
      <c r="T1" s="6" t="s">
        <v>27</v>
      </c>
      <c r="U1" s="6"/>
      <c r="V1" s="6"/>
      <c r="W1" t="s">
        <v>14</v>
      </c>
    </row>
    <row r="2" spans="1:23" ht="16" customHeight="1" x14ac:dyDescent="0.2">
      <c r="A2">
        <v>2005</v>
      </c>
      <c r="B2">
        <v>2084.37</v>
      </c>
      <c r="I2">
        <v>2005</v>
      </c>
      <c r="J2">
        <v>2084.37</v>
      </c>
      <c r="K2">
        <f>J2*$E$7</f>
        <v>2242.0734342000001</v>
      </c>
      <c r="O2" s="2"/>
      <c r="P2" s="5" t="s">
        <v>16</v>
      </c>
      <c r="Q2" s="3" t="s">
        <v>17</v>
      </c>
      <c r="U2" s="5" t="s">
        <v>16</v>
      </c>
      <c r="W2">
        <v>1.0756600000000001</v>
      </c>
    </row>
    <row r="3" spans="1:23" x14ac:dyDescent="0.2">
      <c r="A3">
        <v>2006</v>
      </c>
      <c r="B3">
        <v>2126.31</v>
      </c>
      <c r="C3">
        <f>-LN(B3/B2)</f>
        <v>-1.9921431706305313E-2</v>
      </c>
      <c r="I3">
        <v>2006</v>
      </c>
      <c r="J3">
        <v>2126.31</v>
      </c>
      <c r="K3">
        <f t="shared" ref="K3:K37" si="0">J3*$E$7</f>
        <v>2287.1866146000002</v>
      </c>
      <c r="O3" s="4">
        <v>2008</v>
      </c>
      <c r="P3" s="1">
        <v>71.740857299243771</v>
      </c>
      <c r="Q3" s="3"/>
      <c r="T3" s="4">
        <v>2008</v>
      </c>
      <c r="U3">
        <f>P3*$W$2</f>
        <v>77.168770562504562</v>
      </c>
    </row>
    <row r="4" spans="1:23" x14ac:dyDescent="0.2">
      <c r="A4">
        <v>2007</v>
      </c>
      <c r="B4">
        <v>2137.58</v>
      </c>
      <c r="C4">
        <f t="shared" ref="C4:C19" si="1">-LN(B4/B3)</f>
        <v>-5.2862650043141654E-3</v>
      </c>
      <c r="I4">
        <v>2007</v>
      </c>
      <c r="J4">
        <v>2137.58</v>
      </c>
      <c r="K4">
        <f t="shared" si="0"/>
        <v>2299.3093027999998</v>
      </c>
      <c r="O4" s="4">
        <v>2009</v>
      </c>
      <c r="P4" s="1">
        <v>69.888415432558389</v>
      </c>
      <c r="Q4" s="3">
        <f>LN(P4/P3)</f>
        <v>-2.6160517193397299E-2</v>
      </c>
      <c r="T4" s="4">
        <v>2009</v>
      </c>
      <c r="U4">
        <f t="shared" ref="U4:U35" si="2">P4*$W$2</f>
        <v>75.176172944185765</v>
      </c>
    </row>
    <row r="5" spans="1:23" x14ac:dyDescent="0.2">
      <c r="A5">
        <v>2008</v>
      </c>
      <c r="B5">
        <v>2260.12</v>
      </c>
      <c r="C5">
        <f t="shared" si="1"/>
        <v>-5.5743561190718972E-2</v>
      </c>
      <c r="I5">
        <v>2008</v>
      </c>
      <c r="J5">
        <v>2260.12</v>
      </c>
      <c r="K5">
        <f t="shared" si="0"/>
        <v>2431.1206791999998</v>
      </c>
      <c r="O5" s="4">
        <v>2010</v>
      </c>
      <c r="P5" s="1">
        <v>62.93535169148111</v>
      </c>
      <c r="Q5" s="3">
        <f t="shared" ref="Q5:Q17" si="3">LN(P5/P4)</f>
        <v>-0.10479186902848212</v>
      </c>
      <c r="T5" s="4">
        <v>2010</v>
      </c>
      <c r="U5">
        <f t="shared" si="2"/>
        <v>67.697040400458576</v>
      </c>
    </row>
    <row r="6" spans="1:23" x14ac:dyDescent="0.2">
      <c r="A6">
        <v>2009</v>
      </c>
      <c r="B6">
        <v>2299.9899999999998</v>
      </c>
      <c r="C6">
        <f t="shared" si="1"/>
        <v>-1.748686587985197E-2</v>
      </c>
      <c r="E6" t="s">
        <v>14</v>
      </c>
      <c r="I6">
        <v>2009</v>
      </c>
      <c r="J6">
        <v>2299.9899999999998</v>
      </c>
      <c r="K6">
        <f t="shared" si="0"/>
        <v>2474.0072433999999</v>
      </c>
      <c r="O6" s="4">
        <v>2011</v>
      </c>
      <c r="P6" s="1">
        <v>66.433836808366976</v>
      </c>
      <c r="Q6" s="3">
        <f t="shared" si="3"/>
        <v>5.4098481274815029E-2</v>
      </c>
      <c r="T6" s="4">
        <v>2011</v>
      </c>
      <c r="U6">
        <f t="shared" si="2"/>
        <v>71.460220901288025</v>
      </c>
    </row>
    <row r="7" spans="1:23" x14ac:dyDescent="0.2">
      <c r="A7">
        <v>2010</v>
      </c>
      <c r="B7">
        <v>2173.08</v>
      </c>
      <c r="C7">
        <f t="shared" si="1"/>
        <v>5.6759259040450892E-2</v>
      </c>
      <c r="E7">
        <v>1.0756600000000001</v>
      </c>
      <c r="I7">
        <v>2010</v>
      </c>
      <c r="J7">
        <v>2173.08</v>
      </c>
      <c r="K7">
        <f t="shared" si="0"/>
        <v>2337.4952327999999</v>
      </c>
      <c r="O7" s="4">
        <v>2012</v>
      </c>
      <c r="P7" s="1">
        <v>45.124106043118374</v>
      </c>
      <c r="Q7" s="3">
        <f t="shared" si="3"/>
        <v>-0.38678991139471014</v>
      </c>
      <c r="T7" s="4">
        <v>2012</v>
      </c>
      <c r="U7">
        <f t="shared" si="2"/>
        <v>48.538195906340711</v>
      </c>
    </row>
    <row r="8" spans="1:23" x14ac:dyDescent="0.2">
      <c r="A8">
        <v>2011</v>
      </c>
      <c r="B8">
        <v>2148.79</v>
      </c>
      <c r="C8">
        <f t="shared" si="1"/>
        <v>1.124062304334523E-2</v>
      </c>
      <c r="I8">
        <v>2011</v>
      </c>
      <c r="J8">
        <v>2148.79</v>
      </c>
      <c r="K8">
        <f t="shared" si="0"/>
        <v>2311.3674513999999</v>
      </c>
      <c r="O8" s="4">
        <v>2013</v>
      </c>
      <c r="P8" s="1">
        <v>63.346117847874872</v>
      </c>
      <c r="Q8" s="3">
        <f t="shared" si="3"/>
        <v>0.33919701809916086</v>
      </c>
      <c r="T8" s="4">
        <v>2013</v>
      </c>
      <c r="U8">
        <f t="shared" si="2"/>
        <v>68.138885124245093</v>
      </c>
    </row>
    <row r="9" spans="1:23" x14ac:dyDescent="0.2">
      <c r="A9">
        <v>2012</v>
      </c>
      <c r="B9">
        <v>2212.5500000000002</v>
      </c>
      <c r="C9">
        <f t="shared" si="1"/>
        <v>-2.9240803498884586E-2</v>
      </c>
      <c r="I9">
        <v>2012</v>
      </c>
      <c r="J9">
        <v>2212.5500000000002</v>
      </c>
      <c r="K9">
        <f t="shared" si="0"/>
        <v>2379.9515330000004</v>
      </c>
      <c r="O9" s="4">
        <v>2014</v>
      </c>
      <c r="P9" s="1">
        <v>35.287203699362649</v>
      </c>
      <c r="Q9" s="3">
        <f t="shared" si="3"/>
        <v>-0.58509322709191702</v>
      </c>
      <c r="T9" s="4">
        <v>2014</v>
      </c>
      <c r="U9">
        <f t="shared" si="2"/>
        <v>37.957033531256428</v>
      </c>
    </row>
    <row r="10" spans="1:23" x14ac:dyDescent="0.2">
      <c r="A10">
        <v>2013</v>
      </c>
      <c r="B10">
        <v>2042.08</v>
      </c>
      <c r="C10">
        <f t="shared" si="1"/>
        <v>8.0176800262409961E-2</v>
      </c>
      <c r="I10">
        <v>2013</v>
      </c>
      <c r="J10">
        <v>2042.08</v>
      </c>
      <c r="K10">
        <f t="shared" si="0"/>
        <v>2196.5837728000001</v>
      </c>
      <c r="O10" s="4">
        <v>2015</v>
      </c>
      <c r="P10" s="1">
        <v>25.69618952009867</v>
      </c>
      <c r="Q10" s="3">
        <f t="shared" si="3"/>
        <v>-0.31717768357724624</v>
      </c>
      <c r="T10" s="4">
        <v>2015</v>
      </c>
      <c r="U10">
        <f t="shared" si="2"/>
        <v>27.640363219189336</v>
      </c>
    </row>
    <row r="11" spans="1:23" x14ac:dyDescent="0.2">
      <c r="A11">
        <v>2014</v>
      </c>
      <c r="B11">
        <v>1995.33</v>
      </c>
      <c r="C11">
        <f t="shared" si="1"/>
        <v>2.3159446055892263E-2</v>
      </c>
      <c r="I11">
        <v>2014</v>
      </c>
      <c r="J11">
        <v>1995.33</v>
      </c>
      <c r="K11">
        <f t="shared" si="0"/>
        <v>2146.2966678000003</v>
      </c>
      <c r="O11" s="4">
        <v>2016</v>
      </c>
      <c r="P11" s="1">
        <v>31.300854676277297</v>
      </c>
      <c r="Q11" s="3">
        <f t="shared" si="3"/>
        <v>0.19730268991666705</v>
      </c>
      <c r="T11" s="4">
        <v>2016</v>
      </c>
      <c r="U11">
        <f t="shared" si="2"/>
        <v>33.669077341084439</v>
      </c>
    </row>
    <row r="12" spans="1:23" x14ac:dyDescent="0.2">
      <c r="A12">
        <v>2015</v>
      </c>
      <c r="B12">
        <v>1839.57</v>
      </c>
      <c r="C12">
        <f t="shared" si="1"/>
        <v>8.1277601538714855E-2</v>
      </c>
      <c r="I12">
        <v>2015</v>
      </c>
      <c r="J12">
        <v>1839.57</v>
      </c>
      <c r="K12">
        <f t="shared" si="0"/>
        <v>1978.7518662</v>
      </c>
      <c r="O12" s="4">
        <v>2017</v>
      </c>
      <c r="P12" s="1">
        <v>24.553162386815192</v>
      </c>
      <c r="Q12" s="3">
        <f t="shared" si="3"/>
        <v>-0.24280474305306415</v>
      </c>
      <c r="T12" s="4">
        <v>2017</v>
      </c>
      <c r="U12">
        <f t="shared" si="2"/>
        <v>26.410854653001632</v>
      </c>
    </row>
    <row r="13" spans="1:23" x14ac:dyDescent="0.2">
      <c r="A13">
        <v>2016</v>
      </c>
      <c r="B13">
        <v>1828.81</v>
      </c>
      <c r="C13">
        <f t="shared" si="1"/>
        <v>5.8663665476852995E-3</v>
      </c>
      <c r="I13">
        <v>2016</v>
      </c>
      <c r="J13">
        <v>1828.81</v>
      </c>
      <c r="K13">
        <f t="shared" si="0"/>
        <v>1967.1777646</v>
      </c>
      <c r="O13" s="4">
        <v>2018</v>
      </c>
      <c r="P13" s="1">
        <v>21.272921972468328</v>
      </c>
      <c r="Q13" s="3">
        <f t="shared" si="3"/>
        <v>-0.14340566500221763</v>
      </c>
      <c r="T13" s="4">
        <v>2018</v>
      </c>
      <c r="U13">
        <f t="shared" si="2"/>
        <v>22.882431248905284</v>
      </c>
    </row>
    <row r="14" spans="1:23" x14ac:dyDescent="0.2">
      <c r="A14">
        <v>2017</v>
      </c>
      <c r="B14">
        <v>1825.41</v>
      </c>
      <c r="C14">
        <f t="shared" si="1"/>
        <v>1.8608627729744384E-3</v>
      </c>
      <c r="I14">
        <v>2017</v>
      </c>
      <c r="J14">
        <v>1825.41</v>
      </c>
      <c r="K14">
        <f t="shared" si="0"/>
        <v>1963.5205206000003</v>
      </c>
      <c r="O14" s="4">
        <v>2019</v>
      </c>
      <c r="P14" s="1">
        <v>18.366067363877619</v>
      </c>
      <c r="Q14" s="3">
        <f t="shared" si="3"/>
        <v>-0.14693019802690385</v>
      </c>
      <c r="T14" s="4">
        <v>2019</v>
      </c>
      <c r="U14">
        <f t="shared" si="2"/>
        <v>19.755644020628601</v>
      </c>
    </row>
    <row r="15" spans="1:23" x14ac:dyDescent="0.2">
      <c r="A15">
        <v>2018</v>
      </c>
      <c r="B15">
        <v>1740.75</v>
      </c>
      <c r="C15">
        <f t="shared" si="1"/>
        <v>4.748856449645749E-2</v>
      </c>
      <c r="I15">
        <v>2018</v>
      </c>
      <c r="J15">
        <v>1740.75</v>
      </c>
      <c r="K15">
        <f t="shared" si="0"/>
        <v>1872.4551450000001</v>
      </c>
      <c r="O15" s="4">
        <v>2020</v>
      </c>
      <c r="P15" s="1">
        <v>20.000293309725464</v>
      </c>
      <c r="Q15" s="3">
        <f t="shared" si="3"/>
        <v>8.5242141890254391E-2</v>
      </c>
      <c r="T15" s="4">
        <v>2020</v>
      </c>
      <c r="U15">
        <f t="shared" si="2"/>
        <v>21.513515501539295</v>
      </c>
    </row>
    <row r="16" spans="1:23" x14ac:dyDescent="0.2">
      <c r="A16">
        <v>2019</v>
      </c>
      <c r="B16">
        <v>1653.1</v>
      </c>
      <c r="C16">
        <f t="shared" si="1"/>
        <v>5.1663741763689756E-2</v>
      </c>
      <c r="I16">
        <v>2019</v>
      </c>
      <c r="J16">
        <v>1653.1</v>
      </c>
      <c r="K16">
        <f t="shared" si="0"/>
        <v>1778.173546</v>
      </c>
      <c r="O16" s="4">
        <v>2021</v>
      </c>
      <c r="P16" s="1">
        <v>16.160397699393901</v>
      </c>
      <c r="Q16" s="3">
        <f t="shared" si="3"/>
        <v>-0.21318327603159284</v>
      </c>
      <c r="T16" s="4">
        <v>2021</v>
      </c>
      <c r="U16">
        <f t="shared" si="2"/>
        <v>17.383093389330043</v>
      </c>
    </row>
    <row r="17" spans="1:23" x14ac:dyDescent="0.2">
      <c r="A17">
        <v>2020</v>
      </c>
      <c r="B17">
        <v>1496.35</v>
      </c>
      <c r="C17">
        <f t="shared" si="1"/>
        <v>9.9623503669014887E-2</v>
      </c>
      <c r="I17">
        <v>2020</v>
      </c>
      <c r="J17">
        <v>1496.35</v>
      </c>
      <c r="K17">
        <f t="shared" si="0"/>
        <v>1609.5638409999999</v>
      </c>
      <c r="O17" s="4">
        <v>2022</v>
      </c>
      <c r="P17" s="1">
        <v>15.847940714652479</v>
      </c>
      <c r="Q17" s="3">
        <f t="shared" si="3"/>
        <v>-1.9524094384390369E-2</v>
      </c>
      <c r="T17" s="4">
        <v>2022</v>
      </c>
      <c r="U17">
        <f t="shared" si="2"/>
        <v>17.046995909123087</v>
      </c>
    </row>
    <row r="18" spans="1:23" x14ac:dyDescent="0.2">
      <c r="A18">
        <v>2021</v>
      </c>
      <c r="B18">
        <v>1418.18</v>
      </c>
      <c r="C18">
        <f t="shared" si="1"/>
        <v>5.3654450002797408E-2</v>
      </c>
      <c r="I18">
        <v>2021</v>
      </c>
      <c r="J18">
        <v>1418.18</v>
      </c>
      <c r="K18">
        <f t="shared" si="0"/>
        <v>1525.4794988000001</v>
      </c>
      <c r="O18" s="4">
        <v>2023</v>
      </c>
      <c r="P18">
        <f>P17*$W$21</f>
        <v>14.227560105927731</v>
      </c>
      <c r="T18" s="4">
        <v>2023</v>
      </c>
      <c r="U18">
        <f t="shared" si="2"/>
        <v>15.304017303542224</v>
      </c>
    </row>
    <row r="19" spans="1:23" x14ac:dyDescent="0.2">
      <c r="A19">
        <v>2022</v>
      </c>
      <c r="B19">
        <v>1274.19</v>
      </c>
      <c r="C19">
        <f t="shared" si="1"/>
        <v>0.10706367679709121</v>
      </c>
      <c r="E19" t="s">
        <v>21</v>
      </c>
      <c r="F19">
        <f>AVERAGE(C:C)</f>
        <v>2.895035110061463E-2</v>
      </c>
      <c r="I19">
        <v>2022</v>
      </c>
      <c r="J19">
        <v>1274.19</v>
      </c>
      <c r="K19">
        <f t="shared" si="0"/>
        <v>1370.5952154000001</v>
      </c>
      <c r="O19" s="4">
        <v>2024</v>
      </c>
      <c r="P19">
        <f t="shared" ref="P19:P35" si="4">P18*$W$21</f>
        <v>12.772856121340251</v>
      </c>
      <c r="T19" s="4">
        <v>2024</v>
      </c>
      <c r="U19">
        <f t="shared" si="2"/>
        <v>13.739250415480855</v>
      </c>
    </row>
    <row r="20" spans="1:23" x14ac:dyDescent="0.2">
      <c r="E20" t="s">
        <v>22</v>
      </c>
      <c r="F20">
        <f>EXP(-F19)</f>
        <v>0.97146469542220748</v>
      </c>
      <c r="I20">
        <v>2023</v>
      </c>
      <c r="J20">
        <f>$F$26*J19</f>
        <v>1223.0826720057416</v>
      </c>
      <c r="K20">
        <f t="shared" si="0"/>
        <v>1315.621106969696</v>
      </c>
      <c r="O20" s="4">
        <v>2025</v>
      </c>
      <c r="P20">
        <f t="shared" si="4"/>
        <v>11.466889071759146</v>
      </c>
      <c r="T20" s="4">
        <v>2025</v>
      </c>
      <c r="U20">
        <f t="shared" si="2"/>
        <v>12.334473898928444</v>
      </c>
      <c r="W20">
        <f>AVERAGE(Q4:Q17)</f>
        <v>-0.10785863240021601</v>
      </c>
    </row>
    <row r="21" spans="1:23" x14ac:dyDescent="0.2">
      <c r="E21" t="s">
        <v>23</v>
      </c>
      <c r="F21">
        <f>F20^5</f>
        <v>0.86523705679057306</v>
      </c>
      <c r="I21">
        <v>2024</v>
      </c>
      <c r="J21">
        <f t="shared" ref="J21:J37" si="5">$F$26*J20</f>
        <v>1174.0252415736306</v>
      </c>
      <c r="K21">
        <f t="shared" si="0"/>
        <v>1262.8519913510916</v>
      </c>
      <c r="O21" s="4">
        <v>2026</v>
      </c>
      <c r="P21">
        <f t="shared" si="4"/>
        <v>10.294451275024008</v>
      </c>
      <c r="T21" s="4">
        <v>2026</v>
      </c>
      <c r="U21">
        <f t="shared" si="2"/>
        <v>11.073329458492324</v>
      </c>
      <c r="W21">
        <f>EXP(W20)</f>
        <v>0.89775450085911801</v>
      </c>
    </row>
    <row r="22" spans="1:23" x14ac:dyDescent="0.2">
      <c r="I22">
        <v>2025</v>
      </c>
      <c r="J22">
        <f t="shared" si="5"/>
        <v>1126.9354880089018</v>
      </c>
      <c r="K22">
        <f t="shared" si="0"/>
        <v>1212.1994270316554</v>
      </c>
      <c r="O22" s="4">
        <v>2027</v>
      </c>
      <c r="P22">
        <f t="shared" si="4"/>
        <v>9.2418899660276885</v>
      </c>
      <c r="T22" s="4">
        <v>2027</v>
      </c>
      <c r="U22">
        <f t="shared" si="2"/>
        <v>9.9411313608573444</v>
      </c>
    </row>
    <row r="23" spans="1:23" x14ac:dyDescent="0.2">
      <c r="I23">
        <v>2026</v>
      </c>
      <c r="J23">
        <f t="shared" si="5"/>
        <v>1081.7344884609217</v>
      </c>
      <c r="K23">
        <f t="shared" si="0"/>
        <v>1163.5785198578751</v>
      </c>
      <c r="O23" s="4">
        <v>2028</v>
      </c>
      <c r="P23">
        <f t="shared" si="4"/>
        <v>8.2969483134460784</v>
      </c>
      <c r="T23" s="4">
        <v>2028</v>
      </c>
      <c r="U23">
        <f t="shared" si="2"/>
        <v>8.9246954228414097</v>
      </c>
    </row>
    <row r="24" spans="1:23" x14ac:dyDescent="0.2">
      <c r="I24">
        <v>2027</v>
      </c>
      <c r="J24">
        <f t="shared" si="5"/>
        <v>1038.3464856477826</v>
      </c>
      <c r="K24">
        <f t="shared" si="0"/>
        <v>1116.9077807518938</v>
      </c>
      <c r="O24" s="4">
        <v>2029</v>
      </c>
      <c r="P24">
        <f t="shared" si="4"/>
        <v>7.4486226917916856</v>
      </c>
      <c r="T24" s="4">
        <v>2029</v>
      </c>
      <c r="U24">
        <f t="shared" si="2"/>
        <v>8.0121854846526457</v>
      </c>
    </row>
    <row r="25" spans="1:23" x14ac:dyDescent="0.2">
      <c r="E25" t="s">
        <v>24</v>
      </c>
      <c r="F25">
        <f>AVERAGE(C6:C19)</f>
        <v>4.0936230472270511E-2</v>
      </c>
      <c r="I25">
        <v>2028</v>
      </c>
      <c r="J25">
        <f t="shared" si="5"/>
        <v>996.69876088641524</v>
      </c>
      <c r="K25">
        <f t="shared" si="0"/>
        <v>1072.1089891350814</v>
      </c>
      <c r="O25" s="4">
        <v>2030</v>
      </c>
      <c r="P25">
        <f t="shared" si="4"/>
        <v>6.6870345467573449</v>
      </c>
      <c r="T25" s="4">
        <v>2030</v>
      </c>
      <c r="U25">
        <f t="shared" si="2"/>
        <v>7.1929755805650064</v>
      </c>
    </row>
    <row r="26" spans="1:23" x14ac:dyDescent="0.2">
      <c r="E26" t="s">
        <v>22</v>
      </c>
      <c r="F26">
        <f>EXP(-F25)</f>
        <v>0.95989033974975602</v>
      </c>
      <c r="I26">
        <v>2029</v>
      </c>
      <c r="J26">
        <f t="shared" si="5"/>
        <v>956.72151221542197</v>
      </c>
      <c r="K26">
        <f t="shared" si="0"/>
        <v>1029.1070618296408</v>
      </c>
      <c r="O26" s="4">
        <v>2031</v>
      </c>
      <c r="P26">
        <f t="shared" si="4"/>
        <v>6.0033153617518185</v>
      </c>
      <c r="T26" s="4">
        <v>2031</v>
      </c>
      <c r="U26">
        <f t="shared" si="2"/>
        <v>6.4575262020219615</v>
      </c>
    </row>
    <row r="27" spans="1:23" x14ac:dyDescent="0.2">
      <c r="E27" t="s">
        <v>23</v>
      </c>
      <c r="F27">
        <f>F26^5</f>
        <v>0.81490710619906181</v>
      </c>
      <c r="I27">
        <v>2030</v>
      </c>
      <c r="J27">
        <f t="shared" si="5"/>
        <v>918.34773740636172</v>
      </c>
      <c r="K27">
        <f t="shared" si="0"/>
        <v>987.82992721852713</v>
      </c>
      <c r="O27" s="4">
        <v>2032</v>
      </c>
      <c r="P27">
        <f t="shared" si="4"/>
        <v>5.3895033860893795</v>
      </c>
      <c r="T27" s="4">
        <v>2032</v>
      </c>
      <c r="U27">
        <f t="shared" si="2"/>
        <v>5.7972732122809019</v>
      </c>
    </row>
    <row r="28" spans="1:23" x14ac:dyDescent="0.2">
      <c r="I28">
        <v>2031</v>
      </c>
      <c r="J28">
        <f t="shared" si="5"/>
        <v>881.51312166741229</v>
      </c>
      <c r="K28">
        <f t="shared" si="0"/>
        <v>948.20840445276872</v>
      </c>
      <c r="O28" s="4">
        <v>2033</v>
      </c>
      <c r="P28">
        <f t="shared" si="4"/>
        <v>4.8384509222571976</v>
      </c>
      <c r="T28" s="4">
        <v>2033</v>
      </c>
      <c r="U28">
        <f t="shared" si="2"/>
        <v>5.2045281190351771</v>
      </c>
    </row>
    <row r="29" spans="1:23" x14ac:dyDescent="0.2">
      <c r="I29">
        <v>2032</v>
      </c>
      <c r="J29">
        <f t="shared" si="5"/>
        <v>846.15592985120043</v>
      </c>
      <c r="K29">
        <f t="shared" si="0"/>
        <v>910.17608750374234</v>
      </c>
      <c r="O29" s="4">
        <v>2034</v>
      </c>
      <c r="P29">
        <f t="shared" si="4"/>
        <v>4.3437410926423494</v>
      </c>
      <c r="T29" s="4">
        <v>2034</v>
      </c>
      <c r="U29">
        <f t="shared" si="2"/>
        <v>4.6723885437116701</v>
      </c>
    </row>
    <row r="30" spans="1:23" x14ac:dyDescent="0.2">
      <c r="I30">
        <v>2033</v>
      </c>
      <c r="J30">
        <f t="shared" si="5"/>
        <v>812.21690298613953</v>
      </c>
      <c r="K30">
        <f t="shared" si="0"/>
        <v>873.66923386607084</v>
      </c>
      <c r="O30" s="4">
        <v>2035</v>
      </c>
      <c r="P30">
        <f t="shared" si="4"/>
        <v>3.8996131164863721</v>
      </c>
      <c r="T30" s="4">
        <v>2035</v>
      </c>
      <c r="U30">
        <f t="shared" si="2"/>
        <v>4.1946578448797309</v>
      </c>
    </row>
    <row r="31" spans="1:23" x14ac:dyDescent="0.2">
      <c r="I31">
        <v>2034</v>
      </c>
      <c r="J31">
        <f t="shared" si="5"/>
        <v>779.6391589578601</v>
      </c>
      <c r="K31">
        <f t="shared" si="0"/>
        <v>838.62665772461185</v>
      </c>
      <c r="O31" s="4">
        <v>2036</v>
      </c>
      <c r="P31">
        <f t="shared" si="4"/>
        <v>3.5008952269348925</v>
      </c>
      <c r="T31" s="4">
        <v>2036</v>
      </c>
      <c r="U31">
        <f t="shared" si="2"/>
        <v>3.7657729598047869</v>
      </c>
    </row>
    <row r="32" spans="1:23" x14ac:dyDescent="0.2">
      <c r="I32">
        <v>2035</v>
      </c>
      <c r="J32">
        <f t="shared" si="5"/>
        <v>748.36809717427434</v>
      </c>
      <c r="K32">
        <f t="shared" si="0"/>
        <v>804.98962740647994</v>
      </c>
      <c r="O32" s="4">
        <v>2037</v>
      </c>
      <c r="P32">
        <f t="shared" si="4"/>
        <v>3.1429444470170029</v>
      </c>
      <c r="T32" s="4">
        <v>2037</v>
      </c>
      <c r="U32">
        <f t="shared" si="2"/>
        <v>3.3807396238783096</v>
      </c>
    </row>
    <row r="33" spans="9:21" x14ac:dyDescent="0.2">
      <c r="I33">
        <v>2036</v>
      </c>
      <c r="J33">
        <f t="shared" si="5"/>
        <v>718.35130705449262</v>
      </c>
      <c r="K33">
        <f t="shared" si="0"/>
        <v>772.70176694623558</v>
      </c>
      <c r="O33" s="4">
        <v>2038</v>
      </c>
      <c r="P33">
        <f t="shared" si="4"/>
        <v>2.8215925232596861</v>
      </c>
      <c r="T33" s="4">
        <v>2038</v>
      </c>
      <c r="U33">
        <f t="shared" si="2"/>
        <v>3.0350742135695143</v>
      </c>
    </row>
    <row r="34" spans="9:21" x14ac:dyDescent="0.2">
      <c r="I34">
        <v>2037</v>
      </c>
      <c r="J34">
        <f t="shared" si="5"/>
        <v>689.53848018821827</v>
      </c>
      <c r="K34">
        <f t="shared" si="0"/>
        <v>741.70896159925894</v>
      </c>
      <c r="O34" s="4">
        <v>2039</v>
      </c>
      <c r="P34">
        <f t="shared" si="4"/>
        <v>2.5330973873468188</v>
      </c>
      <c r="T34" s="4">
        <v>2039</v>
      </c>
      <c r="U34">
        <f t="shared" si="2"/>
        <v>2.7247515356734793</v>
      </c>
    </row>
    <row r="35" spans="9:21" x14ac:dyDescent="0.2">
      <c r="I35">
        <v>2038</v>
      </c>
      <c r="J35">
        <f t="shared" si="5"/>
        <v>661.88132601839925</v>
      </c>
      <c r="K35">
        <f t="shared" si="0"/>
        <v>711.95926714495135</v>
      </c>
      <c r="O35" s="4">
        <v>2040</v>
      </c>
      <c r="P35">
        <f t="shared" si="4"/>
        <v>2.2740995806050792</v>
      </c>
      <c r="T35" s="4">
        <v>2040</v>
      </c>
      <c r="U35">
        <f t="shared" si="2"/>
        <v>2.4461579548736596</v>
      </c>
    </row>
    <row r="36" spans="9:21" x14ac:dyDescent="0.2">
      <c r="I36">
        <v>2039</v>
      </c>
      <c r="J36">
        <f t="shared" si="5"/>
        <v>635.33349090582033</v>
      </c>
      <c r="K36">
        <f t="shared" si="0"/>
        <v>683.40282282775468</v>
      </c>
    </row>
    <row r="37" spans="9:21" x14ac:dyDescent="0.2">
      <c r="I37">
        <v>2040</v>
      </c>
      <c r="J37">
        <f t="shared" si="5"/>
        <v>609.85048043998643</v>
      </c>
      <c r="K37">
        <f t="shared" si="0"/>
        <v>655.99176779007587</v>
      </c>
    </row>
  </sheetData>
  <mergeCells count="1"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values</vt:lpstr>
      <vt:lpstr>Advancements1</vt:lpstr>
      <vt:lpstr>Additional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2026-01-15T10:22:42Z</dcterms:modified>
</cp:coreProperties>
</file>